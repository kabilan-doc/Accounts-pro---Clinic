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MONTHY DATE WISE ACCOUNT\ACCOUNTS-2026\DAILY SALES UPDATE\"/>
    </mc:Choice>
  </mc:AlternateContent>
  <xr:revisionPtr revIDLastSave="0" documentId="13_ncr:1_{A97C8E62-81DC-4F5A-AA07-39101E14C1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G3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O3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J3" i="1"/>
  <c r="J4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1"/>
  <c r="E4" i="1"/>
  <c r="G4" i="1" s="1"/>
  <c r="E7" i="1"/>
  <c r="G7" i="1" s="1"/>
  <c r="E8" i="1"/>
  <c r="G8" i="1" s="1"/>
  <c r="M8" i="1" s="1"/>
  <c r="O8" i="1" s="1"/>
  <c r="E9" i="1"/>
  <c r="G9" i="1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M11" i="1" l="1"/>
  <c r="O11" i="1" s="1"/>
  <c r="M10" i="1"/>
  <c r="O10" i="1" s="1"/>
  <c r="M9" i="1"/>
  <c r="O9" i="1" s="1"/>
  <c r="M7" i="1"/>
  <c r="O7" i="1" s="1"/>
  <c r="O4" i="1"/>
  <c r="E2" i="1"/>
  <c r="G2" i="1" s="1"/>
  <c r="C37" i="1"/>
  <c r="N37" i="1"/>
  <c r="H37" i="1"/>
  <c r="J2" i="1" l="1"/>
  <c r="O2" i="1" l="1"/>
</calcChain>
</file>

<file path=xl/sharedStrings.xml><?xml version="1.0" encoding="utf-8"?>
<sst xmlns="http://schemas.openxmlformats.org/spreadsheetml/2006/main" count="54" uniqueCount="31">
  <si>
    <t>DATE</t>
  </si>
  <si>
    <t>DAY</t>
  </si>
  <si>
    <t>TOTAL OP CHARGES</t>
  </si>
  <si>
    <t>TOTAL MEDICINE SALES</t>
  </si>
  <si>
    <t>GPAY</t>
  </si>
  <si>
    <t>EXPENSE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</si>
  <si>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</si>
  <si>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</si>
  <si>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</si>
  <si>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</si>
  <si>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</si>
  <si>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</si>
  <si>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</si>
  <si>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</si>
  <si>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</si>
  <si>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</si>
  <si>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</si>
  <si>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</si>
  <si>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</si>
  <si>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</si>
  <si>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</si>
  <si>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 xml:space="preserve"> </t>
  </si>
  <si>
    <t>NO OF OP</t>
  </si>
  <si>
    <t>TRIP AND OTHERS</t>
  </si>
  <si>
    <t>TOTAL SALES</t>
  </si>
  <si>
    <t>16 DUE ;3 EXCESS</t>
  </si>
  <si>
    <t>178 ismath batcha ; 6 excess</t>
  </si>
  <si>
    <t>532 due</t>
  </si>
  <si>
    <t>CHAELLAIYAN 565</t>
  </si>
  <si>
    <t>152 DHANALAKSHMI</t>
  </si>
  <si>
    <t>223 Guru,12 patrik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</si>
</sst>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1" applyAlignment="1">
      <alignment horizontal="center"/>
    </xf>
    <xf numFmtId="164" fontId="3" fillId="3" borderId="0" xfId="2" applyNumberFormat="1" applyAlignment="1">
      <alignment horizontal="center"/>
    </xf>
    <xf numFmtId="0" fontId="3" fillId="3" borderId="0" xfId="2" applyAlignment="1">
      <alignment horizontal="center"/>
    </xf>
  </cellXfs>
  <cellStyles count="3">
    <cellStyle name="Bad" xfId="2" builtinId="27"/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topLeftCell="C1" zoomScale="90" zoomScaleNormal="90" workbookViewId="0">
      <selection activeCell="P11" sqref="P11"/>
    </sheetView>
  </sheetViews>
  <sheetFormatPr defaultRowHeight="15" x14ac:dyDescent="0.25"/>
  <cols>
    <col min="1" max="1" width="21.7109375" style="1" customWidth="1"/>
    <col min="2" max="2" width="12.140625" style="1" bestFit="1" customWidth="1"/>
    <col min="3" max="4" width="34.28515625" style="1" customWidth="1"/>
    <col min="5" max="5" width="18.5703125" style="1" bestFit="1" customWidth="1"/>
    <col min="6" max="6" width="23" style="1" customWidth="1"/>
    <col min="7" max="7" width="21.85546875" style="1" bestFit="1" customWidth="1"/>
    <col min="8" max="8" width="8.42578125" style="1" bestFit="1" customWidth="1"/>
    <col min="9" max="9" width="8.7109375" style="1" bestFit="1" customWidth="1"/>
    <col min="10" max="10" width="16.28515625" style="1" bestFit="1" customWidth="1"/>
    <col min="11" max="11" width="14.42578125" style="1" bestFit="1" customWidth="1"/>
    <col min="12" max="12" width="8.140625" style="1" bestFit="1" customWidth="1"/>
    <col min="13" max="13" width="11.7109375" style="1" bestFit="1" customWidth="1"/>
    <col min="14" max="14" width="18.140625" style="1" bestFit="1" customWidth="1"/>
    <col min="15" max="15" width="15.28515625" style="1" bestFit="1" customWidth="1"/>
    <col min="16" max="16" width="52.28515625" style="1" customWidth="1"/>
    <col min="17" max="17" width="5.5703125" style="1" bestFit="1" customWidth="1"/>
    <col min="18" max="16384" width="9.140625" style="1"/>
  </cols>
  <sheetData>
    <row r="1" spans="1:17" s="3" customFormat="1" x14ac:dyDescent="0.25">
      <c r="A1" s="3" t="s">
        <v>0</v>
      </c>
      <c r="B1" s="3" t="s">
        <v>1</v>
      </c>
      <c r="C1" s="3" t="s">
        <v>3</v>
      </c>
      <c r="D1" s="3" t="s">
        <v>22</v>
      </c>
      <c r="E1" s="3" t="s">
        <v>2</v>
      </c>
      <c r="F1" s="3" t="s">
        <v>23</v>
      </c>
      <c r="G1" s="3" t="s">
        <v>24</v>
      </c>
      <c r="H1" s="3" t="s">
        <v>4</v>
      </c>
      <c r="I1" s="3" t="s">
        <v>5</v>
      </c>
      <c r="J1" s="3" t="s">
        <v>6</v>
      </c>
      <c r="K1" s="3" t="s">
        <v>12</v>
      </c>
      <c r="L1" s="3" t="s">
        <v>20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</row>
    <row r="2" spans="1:17" x14ac:dyDescent="0.25">
      <c r="A2" s="2">
        <v>46113</v>
      </c>
      <c r="B2" s="1" t="s">
        <v>14</v>
      </c>
      <c r="C2" s="1">
        <v>9587</v>
      </c>
      <c r="D2" s="1">
        <v>17</v>
      </c>
      <c r="E2" s="1">
        <f>(150*D2)</f>
        <v>2550</v>
      </c>
      <c r="F2" s="1">
        <v>400</v>
      </c>
      <c r="G2" s="1">
        <f>SUM(C2+E2+F2)</f>
        <v>12537</v>
      </c>
      <c r="H2" s="1">
        <v>3322</v>
      </c>
      <c r="I2" s="1">
        <v>102</v>
      </c>
      <c r="J2" s="1">
        <f>SUM(H2,I2)</f>
        <v>3424</v>
      </c>
      <c r="K2" s="1">
        <v>30</v>
      </c>
      <c r="L2" s="1">
        <v>0</v>
      </c>
      <c r="M2" s="1">
        <f>SUM(G2-J2+K2-L2)</f>
        <v>9143</v>
      </c>
      <c r="N2" s="1">
        <v>9130</v>
      </c>
      <c r="O2" s="1">
        <f>SUM(N2-M2)</f>
        <v>-13</v>
      </c>
      <c r="P2" s="1" t="s">
        <v>25</v>
      </c>
    </row>
    <row r="3" spans="1:17" x14ac:dyDescent="0.25">
      <c r="A3" s="2">
        <v>46114</v>
      </c>
      <c r="B3" s="1" t="s">
        <v>15</v>
      </c>
      <c r="C3" s="1">
        <v>18992</v>
      </c>
      <c r="D3" s="1">
        <v>26</v>
      </c>
      <c r="E3" s="1">
        <f t="shared" ref="E3:E32" si="0">(150*D3)</f>
        <v>3900</v>
      </c>
      <c r="F3" s="1">
        <v>250</v>
      </c>
      <c r="G3" s="1">
        <f t="shared" ref="G3:G32" si="1">SUM(C3+E3+F3)</f>
        <v>23142</v>
      </c>
      <c r="H3" s="1">
        <v>5160</v>
      </c>
      <c r="I3" s="1">
        <v>20</v>
      </c>
      <c r="J3" s="1">
        <f t="shared" ref="J3:J32" si="2">SUM(H3,I3)</f>
        <v>5180</v>
      </c>
      <c r="K3" s="1">
        <v>0</v>
      </c>
      <c r="L3" s="1">
        <v>0</v>
      </c>
      <c r="M3" s="1">
        <f t="shared" ref="M3:M32" si="3">SUM(G3-J3+K3-L3)</f>
        <v>17962</v>
      </c>
      <c r="N3" s="1">
        <v>17968</v>
      </c>
      <c r="O3" s="1">
        <f t="shared" ref="O3:O32" si="4">SUM(N3-M3)</f>
        <v>6</v>
      </c>
      <c r="P3" s="1" t="s">
        <v>26</v>
      </c>
    </row>
    <row r="4" spans="1:17" x14ac:dyDescent="0.25">
      <c r="A4" s="2">
        <v>46115</v>
      </c>
      <c r="B4" s="1" t="s">
        <v>16</v>
      </c>
      <c r="C4" s="1">
        <v>18604</v>
      </c>
      <c r="D4" s="1">
        <v>25</v>
      </c>
      <c r="E4" s="1">
        <f t="shared" si="0"/>
        <v>3750</v>
      </c>
      <c r="F4" s="1">
        <v>700</v>
      </c>
      <c r="G4" s="1">
        <f t="shared" si="1"/>
        <v>23054</v>
      </c>
      <c r="H4" s="1">
        <v>4755</v>
      </c>
      <c r="I4" s="1">
        <v>560</v>
      </c>
      <c r="J4" s="1">
        <f t="shared" si="2"/>
        <v>5315</v>
      </c>
      <c r="K4" s="1">
        <v>0</v>
      </c>
      <c r="L4" s="1">
        <v>918</v>
      </c>
      <c r="M4" s="1">
        <f t="shared" si="3"/>
        <v>16821</v>
      </c>
      <c r="N4" s="1">
        <v>16290</v>
      </c>
      <c r="O4" s="1">
        <f t="shared" si="4"/>
        <v>-531</v>
      </c>
      <c r="P4" s="1" t="s">
        <v>27</v>
      </c>
    </row>
    <row r="5" spans="1:17" s="5" customFormat="1" x14ac:dyDescent="0.25">
      <c r="A5" s="4">
        <v>46116</v>
      </c>
      <c r="B5" s="5" t="s">
        <v>17</v>
      </c>
      <c r="Q5" s="5" t="s">
        <v>21</v>
      </c>
    </row>
    <row r="6" spans="1:17" s="5" customFormat="1" x14ac:dyDescent="0.25">
      <c r="A6" s="4">
        <v>46117</v>
      </c>
      <c r="B6" s="5" t="s">
        <v>18</v>
      </c>
    </row>
    <row r="7" spans="1:17" x14ac:dyDescent="0.25">
      <c r="A7" s="2">
        <v>46118</v>
      </c>
      <c r="B7" s="1" t="s">
        <v>19</v>
      </c>
      <c r="C7" s="1">
        <v>40928</v>
      </c>
      <c r="D7" s="1">
        <v>49</v>
      </c>
      <c r="E7" s="1">
        <f t="shared" si="0"/>
        <v>7350</v>
      </c>
      <c r="F7" s="1">
        <v>2150</v>
      </c>
      <c r="G7" s="1">
        <f t="shared" si="1"/>
        <v>50428</v>
      </c>
      <c r="H7" s="1">
        <v>17739</v>
      </c>
      <c r="I7" s="1">
        <v>281</v>
      </c>
      <c r="J7" s="1">
        <f t="shared" si="2"/>
        <v>18020</v>
      </c>
      <c r="K7" s="1">
        <v>30</v>
      </c>
      <c r="L7" s="1">
        <v>0</v>
      </c>
      <c r="M7" s="1">
        <f t="shared" si="3"/>
        <v>32438</v>
      </c>
      <c r="N7" s="1">
        <v>32445</v>
      </c>
      <c r="O7" s="1">
        <f t="shared" si="4"/>
        <v>7</v>
      </c>
    </row>
    <row r="8" spans="1:17" x14ac:dyDescent="0.25">
      <c r="A8" s="2">
        <v>46119</v>
      </c>
      <c r="B8" s="1" t="s">
        <v>13</v>
      </c>
      <c r="C8" s="1">
        <v>25931</v>
      </c>
      <c r="D8" s="1">
        <v>38</v>
      </c>
      <c r="E8" s="1">
        <f t="shared" si="0"/>
        <v>5700</v>
      </c>
      <c r="F8" s="1">
        <v>650</v>
      </c>
      <c r="G8" s="1">
        <f t="shared" si="1"/>
        <v>32281</v>
      </c>
      <c r="H8" s="1">
        <v>7316</v>
      </c>
      <c r="I8" s="1">
        <v>0</v>
      </c>
      <c r="J8" s="1">
        <f t="shared" si="2"/>
        <v>7316</v>
      </c>
      <c r="K8" s="1">
        <v>230</v>
      </c>
      <c r="L8" s="1">
        <v>231</v>
      </c>
      <c r="M8" s="1">
        <f t="shared" si="3"/>
        <v>24964</v>
      </c>
      <c r="N8" s="1">
        <v>24400</v>
      </c>
      <c r="O8" s="1">
        <f t="shared" si="4"/>
        <v>-564</v>
      </c>
      <c r="P8" s="1" t="s">
        <v>28</v>
      </c>
    </row>
    <row r="9" spans="1:17" x14ac:dyDescent="0.25">
      <c r="A9" s="2">
        <v>46120</v>
      </c>
      <c r="B9" s="1" t="s">
        <v>14</v>
      </c>
      <c r="C9" s="1">
        <v>24160</v>
      </c>
      <c r="D9" s="1">
        <v>35</v>
      </c>
      <c r="E9" s="1">
        <f t="shared" si="0"/>
        <v>5250</v>
      </c>
      <c r="F9" s="1">
        <v>1220</v>
      </c>
      <c r="G9" s="1">
        <f t="shared" si="1"/>
        <v>30630</v>
      </c>
      <c r="H9" s="1">
        <v>10637</v>
      </c>
      <c r="I9" s="1">
        <v>5</v>
      </c>
      <c r="J9" s="1">
        <f t="shared" si="2"/>
        <v>10642</v>
      </c>
      <c r="K9" s="1">
        <v>0</v>
      </c>
      <c r="L9" s="1">
        <v>35</v>
      </c>
      <c r="M9" s="1">
        <f t="shared" si="3"/>
        <v>19953</v>
      </c>
      <c r="N9" s="1">
        <v>19805</v>
      </c>
      <c r="O9" s="1">
        <f t="shared" si="4"/>
        <v>-148</v>
      </c>
      <c r="P9" s="1" t="s">
        <v>29</v>
      </c>
    </row>
    <row r="10" spans="1:17" x14ac:dyDescent="0.25">
      <c r="A10" s="2">
        <v>46121</v>
      </c>
      <c r="B10" s="1" t="s">
        <v>15</v>
      </c>
      <c r="C10" s="1">
        <v>23128</v>
      </c>
      <c r="D10" s="1">
        <v>32</v>
      </c>
      <c r="E10" s="1">
        <f t="shared" si="0"/>
        <v>4800</v>
      </c>
      <c r="F10" s="1">
        <v>500</v>
      </c>
      <c r="G10" s="1">
        <f t="shared" si="1"/>
        <v>28428</v>
      </c>
      <c r="H10" s="1">
        <v>8882</v>
      </c>
      <c r="I10" s="1">
        <v>0</v>
      </c>
      <c r="J10" s="1">
        <f t="shared" si="2"/>
        <v>8882</v>
      </c>
      <c r="K10" s="1">
        <v>530</v>
      </c>
      <c r="L10" s="1">
        <v>0</v>
      </c>
      <c r="M10" s="1">
        <f t="shared" si="3"/>
        <v>20076</v>
      </c>
      <c r="N10" s="1">
        <v>19830</v>
      </c>
      <c r="O10" s="1">
        <f t="shared" si="4"/>
        <v>-246</v>
      </c>
      <c r="P10" s="1" t="s">
        <v>30</v>
      </c>
    </row>
    <row r="11" spans="1:17" x14ac:dyDescent="0.25">
      <c r="A11" s="2">
        <v>46122</v>
      </c>
      <c r="B11" s="1" t="s">
        <v>16</v>
      </c>
      <c r="C11" s="1">
        <v>20819</v>
      </c>
      <c r="D11" s="1">
        <v>33</v>
      </c>
      <c r="E11" s="1">
        <f t="shared" si="0"/>
        <v>4950</v>
      </c>
      <c r="F11" s="1">
        <v>300</v>
      </c>
      <c r="G11" s="1">
        <f t="shared" si="1"/>
        <v>26069</v>
      </c>
      <c r="H11" s="1">
        <v>9860</v>
      </c>
      <c r="I11" s="1">
        <v>350</v>
      </c>
      <c r="J11" s="1">
        <f t="shared" si="2"/>
        <v>10210</v>
      </c>
      <c r="K11" s="1">
        <v>0</v>
      </c>
      <c r="L11" s="1">
        <v>0</v>
      </c>
      <c r="M11" s="1">
        <f t="shared" si="3"/>
        <v>15859</v>
      </c>
      <c r="N11" s="1">
        <v>15890</v>
      </c>
      <c r="O11" s="1">
        <f t="shared" si="4"/>
        <v>31</v>
      </c>
    </row>
    <row r="12" spans="1:17" x14ac:dyDescent="0.25">
      <c r="A12" s="2">
        <v>46123</v>
      </c>
      <c r="B12" s="1" t="s">
        <v>17</v>
      </c>
      <c r="E12" s="1">
        <f t="shared" si="0"/>
        <v>0</v>
      </c>
      <c r="G12" s="1">
        <f t="shared" si="1"/>
        <v>0</v>
      </c>
      <c r="J12" s="1">
        <f t="shared" si="2"/>
        <v>0</v>
      </c>
      <c r="M12" s="1">
        <f t="shared" si="3"/>
        <v>0</v>
      </c>
      <c r="O12" s="1">
        <f t="shared" si="4"/>
        <v>0</v>
      </c>
    </row>
    <row r="13" spans="1:17" x14ac:dyDescent="0.25">
      <c r="A13" s="2">
        <v>46124</v>
      </c>
      <c r="B13" s="1" t="s">
        <v>18</v>
      </c>
      <c r="E13" s="1">
        <f t="shared" si="0"/>
        <v>0</v>
      </c>
      <c r="G13" s="1">
        <f t="shared" si="1"/>
        <v>0</v>
      </c>
      <c r="J13" s="1">
        <f t="shared" si="2"/>
        <v>0</v>
      </c>
      <c r="M13" s="1">
        <f t="shared" si="3"/>
        <v>0</v>
      </c>
      <c r="O13" s="1">
        <f t="shared" si="4"/>
        <v>0</v>
      </c>
    </row>
    <row r="14" spans="1:17" x14ac:dyDescent="0.25">
      <c r="A14" s="2">
        <v>46125</v>
      </c>
      <c r="B14" s="1" t="s">
        <v>19</v>
      </c>
      <c r="E14" s="1">
        <f t="shared" si="0"/>
        <v>0</v>
      </c>
      <c r="G14" s="1">
        <f t="shared" si="1"/>
        <v>0</v>
      </c>
      <c r="J14" s="1">
        <f t="shared" si="2"/>
        <v>0</v>
      </c>
      <c r="M14" s="1">
        <f t="shared" si="3"/>
        <v>0</v>
      </c>
      <c r="O14" s="1">
        <f t="shared" si="4"/>
        <v>0</v>
      </c>
    </row>
    <row r="15" spans="1:17" x14ac:dyDescent="0.25">
      <c r="A15" s="2">
        <v>46126</v>
      </c>
      <c r="B15" s="1" t="s">
        <v>13</v>
      </c>
      <c r="E15" s="1">
        <f t="shared" si="0"/>
        <v>0</v>
      </c>
      <c r="G15" s="1">
        <f t="shared" si="1"/>
        <v>0</v>
      </c>
      <c r="J15" s="1">
        <f t="shared" si="2"/>
        <v>0</v>
      </c>
      <c r="M15" s="1">
        <f t="shared" si="3"/>
        <v>0</v>
      </c>
      <c r="O15" s="1">
        <f t="shared" si="4"/>
        <v>0</v>
      </c>
    </row>
    <row r="16" spans="1:17" x14ac:dyDescent="0.25">
      <c r="A16" s="2">
        <v>46127</v>
      </c>
      <c r="B16" s="1" t="s">
        <v>14</v>
      </c>
      <c r="E16" s="1">
        <f t="shared" si="0"/>
        <v>0</v>
      </c>
      <c r="G16" s="1">
        <f t="shared" si="1"/>
        <v>0</v>
      </c>
      <c r="J16" s="1">
        <f t="shared" si="2"/>
        <v>0</v>
      </c>
      <c r="M16" s="1">
        <f t="shared" si="3"/>
        <v>0</v>
      </c>
      <c r="O16" s="1">
        <f t="shared" si="4"/>
        <v>0</v>
      </c>
    </row>
    <row r="17" spans="1:15" x14ac:dyDescent="0.25">
      <c r="A17" s="2">
        <v>46128</v>
      </c>
      <c r="B17" s="1" t="s">
        <v>15</v>
      </c>
      <c r="E17" s="1">
        <f t="shared" si="0"/>
        <v>0</v>
      </c>
      <c r="G17" s="1">
        <f t="shared" si="1"/>
        <v>0</v>
      </c>
      <c r="J17" s="1">
        <f t="shared" si="2"/>
        <v>0</v>
      </c>
      <c r="M17" s="1">
        <f t="shared" si="3"/>
        <v>0</v>
      </c>
      <c r="O17" s="1">
        <f t="shared" si="4"/>
        <v>0</v>
      </c>
    </row>
    <row r="18" spans="1:15" x14ac:dyDescent="0.25">
      <c r="A18" s="2">
        <v>46129</v>
      </c>
      <c r="B18" s="1" t="s">
        <v>16</v>
      </c>
      <c r="E18" s="1">
        <f t="shared" si="0"/>
        <v>0</v>
      </c>
      <c r="G18" s="1">
        <f t="shared" si="1"/>
        <v>0</v>
      </c>
      <c r="J18" s="1">
        <f t="shared" si="2"/>
        <v>0</v>
      </c>
      <c r="M18" s="1">
        <f t="shared" si="3"/>
        <v>0</v>
      </c>
      <c r="O18" s="1">
        <f t="shared" si="4"/>
        <v>0</v>
      </c>
    </row>
    <row r="19" spans="1:15" x14ac:dyDescent="0.25">
      <c r="A19" s="2">
        <v>46130</v>
      </c>
      <c r="B19" s="1" t="s">
        <v>17</v>
      </c>
      <c r="E19" s="1">
        <f t="shared" si="0"/>
        <v>0</v>
      </c>
      <c r="G19" s="1">
        <f t="shared" si="1"/>
        <v>0</v>
      </c>
      <c r="J19" s="1">
        <f t="shared" si="2"/>
        <v>0</v>
      </c>
      <c r="M19" s="1">
        <f t="shared" si="3"/>
        <v>0</v>
      </c>
      <c r="O19" s="1">
        <f t="shared" si="4"/>
        <v>0</v>
      </c>
    </row>
    <row r="20" spans="1:15" x14ac:dyDescent="0.25">
      <c r="A20" s="2">
        <v>46131</v>
      </c>
      <c r="B20" s="1" t="s">
        <v>18</v>
      </c>
      <c r="E20" s="1">
        <f t="shared" si="0"/>
        <v>0</v>
      </c>
      <c r="G20" s="1">
        <f t="shared" si="1"/>
        <v>0</v>
      </c>
      <c r="J20" s="1">
        <f t="shared" si="2"/>
        <v>0</v>
      </c>
      <c r="M20" s="1">
        <f t="shared" si="3"/>
        <v>0</v>
      </c>
      <c r="O20" s="1">
        <f t="shared" si="4"/>
        <v>0</v>
      </c>
    </row>
    <row r="21" spans="1:15" x14ac:dyDescent="0.25">
      <c r="A21" s="2">
        <v>46132</v>
      </c>
      <c r="B21" s="1" t="s">
        <v>19</v>
      </c>
      <c r="E21" s="1">
        <f t="shared" si="0"/>
        <v>0</v>
      </c>
      <c r="G21" s="1">
        <f t="shared" si="1"/>
        <v>0</v>
      </c>
      <c r="J21" s="1">
        <f t="shared" si="2"/>
        <v>0</v>
      </c>
      <c r="M21" s="1">
        <f t="shared" si="3"/>
        <v>0</v>
      </c>
      <c r="O21" s="1">
        <f t="shared" si="4"/>
        <v>0</v>
      </c>
    </row>
    <row r="22" spans="1:15" x14ac:dyDescent="0.25">
      <c r="A22" s="2">
        <v>46133</v>
      </c>
      <c r="B22" s="1" t="s">
        <v>13</v>
      </c>
      <c r="E22" s="1">
        <f t="shared" si="0"/>
        <v>0</v>
      </c>
      <c r="G22" s="1">
        <f t="shared" si="1"/>
        <v>0</v>
      </c>
      <c r="J22" s="1">
        <f t="shared" si="2"/>
        <v>0</v>
      </c>
      <c r="M22" s="1">
        <f t="shared" si="3"/>
        <v>0</v>
      </c>
      <c r="O22" s="1">
        <f t="shared" si="4"/>
        <v>0</v>
      </c>
    </row>
    <row r="23" spans="1:15" x14ac:dyDescent="0.25">
      <c r="A23" s="2">
        <v>46134</v>
      </c>
      <c r="B23" s="1" t="s">
        <v>14</v>
      </c>
      <c r="E23" s="1">
        <f t="shared" si="0"/>
        <v>0</v>
      </c>
      <c r="G23" s="1">
        <f t="shared" si="1"/>
        <v>0</v>
      </c>
      <c r="J23" s="1">
        <f t="shared" si="2"/>
        <v>0</v>
      </c>
      <c r="M23" s="1">
        <f t="shared" si="3"/>
        <v>0</v>
      </c>
      <c r="O23" s="1">
        <f t="shared" si="4"/>
        <v>0</v>
      </c>
    </row>
    <row r="24" spans="1:15" x14ac:dyDescent="0.25">
      <c r="A24" s="2">
        <v>46135</v>
      </c>
      <c r="B24" s="1" t="s">
        <v>15</v>
      </c>
      <c r="E24" s="1">
        <f t="shared" si="0"/>
        <v>0</v>
      </c>
      <c r="G24" s="1">
        <f t="shared" si="1"/>
        <v>0</v>
      </c>
      <c r="J24" s="1">
        <f t="shared" si="2"/>
        <v>0</v>
      </c>
      <c r="M24" s="1">
        <f t="shared" si="3"/>
        <v>0</v>
      </c>
      <c r="O24" s="1">
        <f t="shared" si="4"/>
        <v>0</v>
      </c>
    </row>
    <row r="25" spans="1:15" x14ac:dyDescent="0.25">
      <c r="A25" s="2">
        <v>46136</v>
      </c>
      <c r="B25" s="1" t="s">
        <v>16</v>
      </c>
      <c r="E25" s="1">
        <f t="shared" si="0"/>
        <v>0</v>
      </c>
      <c r="G25" s="1">
        <f t="shared" si="1"/>
        <v>0</v>
      </c>
      <c r="J25" s="1">
        <f t="shared" si="2"/>
        <v>0</v>
      </c>
      <c r="M25" s="1">
        <f t="shared" si="3"/>
        <v>0</v>
      </c>
      <c r="O25" s="1">
        <f t="shared" si="4"/>
        <v>0</v>
      </c>
    </row>
    <row r="26" spans="1:15" x14ac:dyDescent="0.25">
      <c r="A26" s="2">
        <v>46137</v>
      </c>
      <c r="B26" s="1" t="s">
        <v>17</v>
      </c>
      <c r="E26" s="1">
        <f t="shared" si="0"/>
        <v>0</v>
      </c>
      <c r="G26" s="1">
        <f t="shared" si="1"/>
        <v>0</v>
      </c>
      <c r="J26" s="1">
        <f t="shared" si="2"/>
        <v>0</v>
      </c>
      <c r="M26" s="1">
        <f t="shared" si="3"/>
        <v>0</v>
      </c>
      <c r="O26" s="1">
        <f t="shared" si="4"/>
        <v>0</v>
      </c>
    </row>
    <row r="27" spans="1:15" x14ac:dyDescent="0.25">
      <c r="A27" s="2">
        <v>46138</v>
      </c>
      <c r="B27" s="1" t="s">
        <v>18</v>
      </c>
      <c r="E27" s="1">
        <f t="shared" si="0"/>
        <v>0</v>
      </c>
      <c r="G27" s="1">
        <f t="shared" si="1"/>
        <v>0</v>
      </c>
      <c r="J27" s="1">
        <f t="shared" si="2"/>
        <v>0</v>
      </c>
      <c r="M27" s="1">
        <f t="shared" si="3"/>
        <v>0</v>
      </c>
      <c r="O27" s="1">
        <f t="shared" si="4"/>
        <v>0</v>
      </c>
    </row>
    <row r="28" spans="1:15" x14ac:dyDescent="0.25">
      <c r="A28" s="2">
        <v>46139</v>
      </c>
      <c r="B28" s="1" t="s">
        <v>19</v>
      </c>
      <c r="E28" s="1">
        <f t="shared" si="0"/>
        <v>0</v>
      </c>
      <c r="G28" s="1">
        <f t="shared" si="1"/>
        <v>0</v>
      </c>
      <c r="J28" s="1">
        <f t="shared" si="2"/>
        <v>0</v>
      </c>
      <c r="M28" s="1">
        <f t="shared" si="3"/>
        <v>0</v>
      </c>
      <c r="O28" s="1">
        <f t="shared" si="4"/>
        <v>0</v>
      </c>
    </row>
    <row r="29" spans="1:15" x14ac:dyDescent="0.25">
      <c r="A29" s="2">
        <v>46140</v>
      </c>
      <c r="B29" s="1" t="s">
        <v>13</v>
      </c>
      <c r="E29" s="1">
        <f t="shared" si="0"/>
        <v>0</v>
      </c>
      <c r="G29" s="1">
        <f t="shared" si="1"/>
        <v>0</v>
      </c>
      <c r="J29" s="1">
        <f t="shared" si="2"/>
        <v>0</v>
      </c>
      <c r="M29" s="1">
        <f t="shared" si="3"/>
        <v>0</v>
      </c>
      <c r="O29" s="1">
        <f t="shared" si="4"/>
        <v>0</v>
      </c>
    </row>
    <row r="30" spans="1:15" x14ac:dyDescent="0.25">
      <c r="A30" s="2">
        <v>46141</v>
      </c>
      <c r="B30" s="1" t="s">
        <v>14</v>
      </c>
      <c r="E30" s="1">
        <f t="shared" si="0"/>
        <v>0</v>
      </c>
      <c r="G30" s="1">
        <f t="shared" si="1"/>
        <v>0</v>
      </c>
      <c r="J30" s="1">
        <f t="shared" si="2"/>
        <v>0</v>
      </c>
      <c r="M30" s="1">
        <f t="shared" si="3"/>
        <v>0</v>
      </c>
      <c r="O30" s="1">
        <f t="shared" si="4"/>
        <v>0</v>
      </c>
    </row>
    <row r="31" spans="1:15" x14ac:dyDescent="0.25">
      <c r="A31" s="2">
        <v>46142</v>
      </c>
      <c r="B31" s="1" t="s">
        <v>15</v>
      </c>
      <c r="E31" s="1">
        <f t="shared" si="0"/>
        <v>0</v>
      </c>
      <c r="G31" s="1">
        <f t="shared" si="1"/>
        <v>0</v>
      </c>
      <c r="J31" s="1">
        <f t="shared" si="2"/>
        <v>0</v>
      </c>
      <c r="M31" s="1">
        <f t="shared" si="3"/>
        <v>0</v>
      </c>
      <c r="O31" s="1">
        <f t="shared" si="4"/>
        <v>0</v>
      </c>
    </row>
    <row r="32" spans="1:15" x14ac:dyDescent="0.25">
      <c r="A32" s="2"/>
      <c r="E32" s="1">
        <f t="shared" si="0"/>
        <v>0</v>
      </c>
      <c r="G32" s="1">
        <f t="shared" si="1"/>
        <v>0</v>
      </c>
      <c r="J32" s="1">
        <f t="shared" si="2"/>
        <v>0</v>
      </c>
      <c r="M32" s="1">
        <f t="shared" si="3"/>
        <v>0</v>
      </c>
      <c r="O32" s="1">
        <f t="shared" si="4"/>
        <v>0</v>
      </c>
    </row>
    <row r="37" spans="3:14" x14ac:dyDescent="0.25">
      <c r="C37" s="1">
        <f>SUM(C2:C31)</f>
        <v>182149</v>
      </c>
      <c r="H37" s="1">
        <f>SUM(H2:H32)</f>
        <v>67671</v>
      </c>
      <c r="N37" s="1">
        <f>SUM(N2:N32)</f>
        <v>155758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2026-04-11T09:11:45Z</dcterms:modified>
</cp:coreProperties>
</file>