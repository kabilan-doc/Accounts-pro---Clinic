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:\MONTHY DATE WISE ACCOUNT\COMPLETE MONTHWISE ACCOUNT\"/>
    </mc:Choice>
  </mc:AlternateContent>
  <xr:revisionPtr revIDLastSave="0" documentId="13_ncr:1_{DB39A2B8-C4EC-4048-8298-1C82B236255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5" i="1" l="1"/>
  <c r="L31" i="1"/>
  <c r="N31" i="1" s="1"/>
  <c r="L30" i="1"/>
  <c r="J31" i="1"/>
  <c r="F31" i="1"/>
  <c r="I31" i="1" s="1"/>
  <c r="J30" i="1"/>
  <c r="F30" i="1"/>
  <c r="I30" i="1" s="1"/>
  <c r="J29" i="1"/>
  <c r="F29" i="1"/>
  <c r="I29" i="1" s="1"/>
  <c r="L28" i="1"/>
  <c r="F28" i="1"/>
  <c r="I28" i="1" s="1"/>
  <c r="F27" i="1"/>
  <c r="J28" i="1"/>
  <c r="J27" i="1"/>
  <c r="I27" i="1"/>
  <c r="L27" i="1" s="1"/>
  <c r="N27" i="1" s="1"/>
  <c r="F21" i="1"/>
  <c r="I21" i="1" s="1"/>
  <c r="J26" i="1"/>
  <c r="F26" i="1"/>
  <c r="I26" i="1" s="1"/>
  <c r="J25" i="1"/>
  <c r="F25" i="1"/>
  <c r="I25" i="1" s="1"/>
  <c r="L25" i="1" s="1"/>
  <c r="N25" i="1" s="1"/>
  <c r="J24" i="1"/>
  <c r="F24" i="1"/>
  <c r="I24" i="1" s="1"/>
  <c r="J22" i="1"/>
  <c r="F22" i="1"/>
  <c r="I22" i="1"/>
  <c r="J21" i="1"/>
  <c r="L21" i="1" s="1"/>
  <c r="J20" i="1"/>
  <c r="F20" i="1"/>
  <c r="I20" i="1" s="1"/>
  <c r="J19" i="1"/>
  <c r="F19" i="1"/>
  <c r="I19" i="1" s="1"/>
  <c r="F18" i="1"/>
  <c r="I18" i="1" s="1"/>
  <c r="J18" i="1"/>
  <c r="J17" i="1"/>
  <c r="F17" i="1"/>
  <c r="I17" i="1" s="1"/>
  <c r="F16" i="1"/>
  <c r="I16" i="1" s="1"/>
  <c r="J16" i="1"/>
  <c r="J15" i="1"/>
  <c r="F15" i="1"/>
  <c r="I15" i="1" s="1"/>
  <c r="J14" i="1"/>
  <c r="F14" i="1"/>
  <c r="I14" i="1" s="1"/>
  <c r="F13" i="1"/>
  <c r="I13" i="1" s="1"/>
  <c r="J13" i="1"/>
  <c r="J12" i="1"/>
  <c r="F12" i="1"/>
  <c r="I12" i="1" s="1"/>
  <c r="J11" i="1"/>
  <c r="F11" i="1"/>
  <c r="I11" i="1" s="1"/>
  <c r="J9" i="1"/>
  <c r="J8" i="1"/>
  <c r="J10" i="1"/>
  <c r="F8" i="1"/>
  <c r="I8" i="1" s="1"/>
  <c r="F9" i="1"/>
  <c r="I9" i="1" s="1"/>
  <c r="L9" i="1" s="1"/>
  <c r="N9" i="1" s="1"/>
  <c r="F10" i="1"/>
  <c r="I10" i="1" s="1"/>
  <c r="J7" i="1"/>
  <c r="F7" i="1"/>
  <c r="I7" i="1" s="1"/>
  <c r="J6" i="1"/>
  <c r="F6" i="1"/>
  <c r="I6" i="1" s="1"/>
  <c r="J5" i="1"/>
  <c r="F5" i="1"/>
  <c r="I5" i="1" s="1"/>
  <c r="J4" i="1"/>
  <c r="F4" i="1"/>
  <c r="I4" i="1" s="1"/>
  <c r="J3" i="1"/>
  <c r="F3" i="1"/>
  <c r="I3" i="1" s="1"/>
  <c r="N30" i="1" l="1"/>
  <c r="L29" i="1"/>
  <c r="N29" i="1" s="1"/>
  <c r="N28" i="1"/>
  <c r="L26" i="1"/>
  <c r="N26" i="1" s="1"/>
  <c r="L18" i="1"/>
  <c r="N18" i="1" s="1"/>
  <c r="L17" i="1"/>
  <c r="L24" i="1"/>
  <c r="N24" i="1" s="1"/>
  <c r="N21" i="1"/>
  <c r="L20" i="1"/>
  <c r="N20" i="1" s="1"/>
  <c r="L22" i="1"/>
  <c r="N22" i="1" s="1"/>
  <c r="L19" i="1"/>
  <c r="N19" i="1" s="1"/>
  <c r="L15" i="1"/>
  <c r="N15" i="1" s="1"/>
  <c r="L10" i="1"/>
  <c r="N10" i="1" s="1"/>
  <c r="L5" i="1"/>
  <c r="L16" i="1"/>
  <c r="N16" i="1" s="1"/>
  <c r="L7" i="1"/>
  <c r="N7" i="1" s="1"/>
  <c r="L4" i="1"/>
  <c r="N4" i="1" s="1"/>
  <c r="L6" i="1"/>
  <c r="N6" i="1" s="1"/>
  <c r="L11" i="1"/>
  <c r="N11" i="1" s="1"/>
  <c r="L12" i="1"/>
  <c r="N12" i="1" s="1"/>
  <c r="N17" i="1"/>
  <c r="L14" i="1"/>
  <c r="N14" i="1" s="1"/>
  <c r="L13" i="1"/>
  <c r="N13" i="1" s="1"/>
  <c r="L8" i="1"/>
  <c r="N8" i="1" s="1"/>
  <c r="L3" i="1"/>
  <c r="N3" i="1" s="1"/>
</calcChain>
</file>

<file path=xl/sharedStrings.xml><?xml version="1.0" encoding="utf-8"?>
<sst xmlns="http://schemas.openxmlformats.org/spreadsheetml/2006/main" count="63" uniqueCount="40">
  <si>
    <t>DATE</t>
  </si>
  <si>
    <t>DAY</t>
  </si>
  <si>
    <t>TOTAL SALESAMOUNT IN COMPUTER</t>
  </si>
  <si>
    <t>TOTAL OP CHARGES</t>
  </si>
  <si>
    <t>INJECTION</t>
  </si>
  <si>
    <t>TOTAL MEDICINE SALES</t>
  </si>
  <si>
    <t>GPAY</t>
  </si>
  <si>
    <t>EXPENSE</t>
  </si>
  <si>
    <t>TOTAL</t>
  </si>
  <si>
    <t>GPAY &amp; EXPENSE</t>
  </si>
  <si>
    <t>TOTAL CASH</t>
  </si>
  <si>
    <t>TOTAL CASH GIVEN</t>
  </si>
  <si>
    <t>EXCESS/DEFECIT</t>
  </si>
  <si>
    <t>NOTES</t>
  </si>
  <si>
    <t>Sunday</t>
  </si>
  <si>
    <t>Monday</t>
  </si>
  <si>
    <t>Tuesday</t>
  </si>
  <si>
    <t>Wednesday</t>
  </si>
  <si>
    <t>Thursday</t>
  </si>
  <si>
    <t>Friday</t>
  </si>
  <si>
    <t>Saturday</t>
  </si>
  <si>
    <t>200 Selvam</t>
  </si>
  <si>
    <t>108 return,256 kabilan bill</t>
  </si>
  <si>
    <t>Extra sugar-2</t>
  </si>
  <si>
    <t>Extra</t>
  </si>
  <si>
    <t>EXTRA CHARGE</t>
  </si>
  <si>
    <t>152 return</t>
  </si>
  <si>
    <t>42 deficit</t>
  </si>
  <si>
    <t>150 Fees,5878-narsis,manikandan,18 excess</t>
  </si>
  <si>
    <t>janavan 1540</t>
  </si>
  <si>
    <t>150 REVIEW WITH REPORT</t>
  </si>
  <si>
    <t>215 deficit</t>
  </si>
  <si>
    <t>22 excess</t>
  </si>
  <si>
    <t>return 158</t>
  </si>
  <si>
    <t>130 return,46 deficit</t>
  </si>
  <si>
    <t>chellaiyan 2220,88 dafy,</t>
  </si>
  <si>
    <t>catheter house visit</t>
  </si>
  <si>
    <t>asika 194,return 60</t>
  </si>
  <si>
    <t>27 excess</t>
  </si>
  <si>
    <t>return 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</si>
</sst>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1" applyNumberFormat="0" applyAlignment="0" applyProtection="0"/>
  </cellStyleXfs>
  <cellXfs count="8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4" fontId="2" fillId="2" borderId="1" xfId="1" applyNumberFormat="1" applyBorder="1" applyAlignment="1">
      <alignment horizontal="center"/>
    </xf>
    <xf numFmtId="0" fontId="2" fillId="2" borderId="1" xfId="1" applyBorder="1" applyAlignment="1">
      <alignment horizontal="center"/>
    </xf>
    <xf numFmtId="164" fontId="2" fillId="2" borderId="0" xfId="1" applyNumberFormat="1" applyAlignment="1">
      <alignment horizontal="center"/>
    </xf>
    <xf numFmtId="0" fontId="2" fillId="2" borderId="0" xfId="1" applyAlignment="1">
      <alignment horizontal="center"/>
    </xf>
    <xf numFmtId="0" fontId="3" fillId="3" borderId="1" xfId="2" applyAlignment="1">
      <alignment horizontal="center"/>
    </xf>
  </cellXfs>
  <cellStyles count="3">
    <cellStyle name="Calculation" xfId="2" builtinId="22"/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3"/>
  <sheetViews>
    <sheetView tabSelected="1" zoomScale="90" zoomScaleNormal="90" workbookViewId="0">
      <selection activeCell="A34" sqref="A34:XFD34"/>
    </sheetView>
  </sheetViews>
  <sheetFormatPr defaultRowHeight="15" x14ac:dyDescent="0.25"/>
  <cols>
    <col min="1" max="1" width="12.5703125" style="1" bestFit="1" customWidth="1"/>
    <col min="2" max="2" width="11.42578125" style="1" bestFit="1" customWidth="1"/>
    <col min="3" max="3" width="33.85546875" style="1" bestFit="1" customWidth="1"/>
    <col min="4" max="4" width="18.42578125" style="1" bestFit="1" customWidth="1"/>
    <col min="5" max="5" width="10.28515625" style="1" bestFit="1" customWidth="1"/>
    <col min="6" max="6" width="21.7109375" style="1" bestFit="1" customWidth="1"/>
    <col min="7" max="7" width="5.7109375" style="1" bestFit="1" customWidth="1"/>
    <col min="8" max="8" width="8.7109375" style="1" bestFit="1" customWidth="1"/>
    <col min="9" max="9" width="9.28515625" style="1" customWidth="1"/>
    <col min="10" max="10" width="15.85546875" style="1" bestFit="1" customWidth="1"/>
    <col min="11" max="11" width="18.42578125" style="1" customWidth="1"/>
    <col min="12" max="12" width="11.7109375" style="1" bestFit="1" customWidth="1"/>
    <col min="13" max="13" width="18" style="1" bestFit="1" customWidth="1"/>
    <col min="14" max="14" width="15.28515625" style="1" bestFit="1" customWidth="1"/>
    <col min="15" max="15" width="26.5703125" style="1" customWidth="1"/>
    <col min="16" max="16" width="40.28515625" style="1" bestFit="1" customWidth="1"/>
    <col min="17" max="16384" width="9.140625" style="1"/>
  </cols>
  <sheetData>
    <row r="1" spans="1:16" s="7" customFormat="1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25</v>
      </c>
      <c r="L1" s="7" t="s">
        <v>10</v>
      </c>
      <c r="M1" s="7" t="s">
        <v>11</v>
      </c>
      <c r="N1" s="7" t="s">
        <v>12</v>
      </c>
      <c r="O1" s="7" t="s">
        <v>13</v>
      </c>
      <c r="P1" s="7" t="s">
        <v>24</v>
      </c>
    </row>
    <row r="2" spans="1:16" s="4" customFormat="1" x14ac:dyDescent="0.25">
      <c r="A2" s="3">
        <v>45809</v>
      </c>
      <c r="B2" s="4" t="s">
        <v>14</v>
      </c>
    </row>
    <row r="3" spans="1:16" x14ac:dyDescent="0.25">
      <c r="A3" s="2">
        <v>45810</v>
      </c>
      <c r="B3" s="1" t="s">
        <v>15</v>
      </c>
      <c r="C3" s="1">
        <v>15508</v>
      </c>
      <c r="D3" s="1">
        <v>4150</v>
      </c>
      <c r="E3" s="1">
        <v>279</v>
      </c>
      <c r="F3" s="1">
        <f t="shared" ref="F3:F26" si="0">SUM(C3-D3-E3)</f>
        <v>11079</v>
      </c>
      <c r="G3" s="1">
        <v>3934</v>
      </c>
      <c r="H3" s="1">
        <v>152</v>
      </c>
      <c r="I3" s="1">
        <f t="shared" ref="I3:I34" si="1">SUM(D3,E3,F3)</f>
        <v>15508</v>
      </c>
      <c r="J3" s="1">
        <f t="shared" ref="J3:J34" si="2">SUM(G3,H3)</f>
        <v>4086</v>
      </c>
      <c r="L3" s="1">
        <f t="shared" ref="L3:L16" si="3">SUM(I3-J3)</f>
        <v>11422</v>
      </c>
      <c r="M3" s="1">
        <v>10570</v>
      </c>
      <c r="N3" s="1">
        <f>SUM(M3-L3)</f>
        <v>-852</v>
      </c>
      <c r="O3" s="1" t="s">
        <v>21</v>
      </c>
    </row>
    <row r="4" spans="1:16" x14ac:dyDescent="0.25">
      <c r="A4" s="2">
        <v>45811</v>
      </c>
      <c r="B4" s="1" t="s">
        <v>16</v>
      </c>
      <c r="C4" s="1">
        <v>18226</v>
      </c>
      <c r="D4" s="1">
        <v>3320</v>
      </c>
      <c r="E4" s="1">
        <v>120</v>
      </c>
      <c r="F4" s="1">
        <f t="shared" si="0"/>
        <v>14786</v>
      </c>
      <c r="G4" s="1">
        <v>3714</v>
      </c>
      <c r="H4" s="1">
        <v>170</v>
      </c>
      <c r="I4" s="1">
        <f t="shared" si="1"/>
        <v>18226</v>
      </c>
      <c r="J4" s="1">
        <f t="shared" si="2"/>
        <v>3884</v>
      </c>
      <c r="L4" s="1">
        <f t="shared" si="3"/>
        <v>14342</v>
      </c>
      <c r="M4" s="1">
        <v>14576</v>
      </c>
      <c r="N4" s="1">
        <f>SUM(M4-L4)</f>
        <v>234</v>
      </c>
    </row>
    <row r="5" spans="1:16" x14ac:dyDescent="0.25">
      <c r="A5" s="2">
        <v>45812</v>
      </c>
      <c r="B5" s="1" t="s">
        <v>17</v>
      </c>
      <c r="C5" s="1">
        <v>15519</v>
      </c>
      <c r="D5" s="1">
        <v>2850</v>
      </c>
      <c r="E5" s="1">
        <v>180</v>
      </c>
      <c r="F5" s="1">
        <f t="shared" si="0"/>
        <v>12489</v>
      </c>
      <c r="G5" s="1">
        <v>2529</v>
      </c>
      <c r="H5" s="1">
        <v>100</v>
      </c>
      <c r="I5" s="1">
        <f t="shared" si="1"/>
        <v>15519</v>
      </c>
      <c r="J5" s="1">
        <f t="shared" si="2"/>
        <v>2629</v>
      </c>
      <c r="L5" s="1">
        <f t="shared" si="3"/>
        <v>12890</v>
      </c>
      <c r="M5" s="1">
        <v>12950</v>
      </c>
      <c r="N5" s="1">
        <f>SUM(M5-L5)</f>
        <v>60</v>
      </c>
    </row>
    <row r="6" spans="1:16" x14ac:dyDescent="0.25">
      <c r="A6" s="2">
        <v>45813</v>
      </c>
      <c r="B6" s="1" t="s">
        <v>18</v>
      </c>
      <c r="C6" s="1">
        <v>16968</v>
      </c>
      <c r="D6" s="1">
        <v>3000</v>
      </c>
      <c r="E6" s="1">
        <v>199</v>
      </c>
      <c r="F6" s="1">
        <f t="shared" si="0"/>
        <v>13769</v>
      </c>
      <c r="G6" s="1">
        <v>2412</v>
      </c>
      <c r="H6" s="1">
        <v>1254</v>
      </c>
      <c r="I6" s="1">
        <f t="shared" si="1"/>
        <v>16968</v>
      </c>
      <c r="J6" s="1">
        <f t="shared" si="2"/>
        <v>3666</v>
      </c>
      <c r="L6" s="1">
        <f t="shared" si="3"/>
        <v>13302</v>
      </c>
      <c r="M6" s="1">
        <v>13890</v>
      </c>
      <c r="N6" s="1">
        <f>SUM(M6-L6)</f>
        <v>588</v>
      </c>
    </row>
    <row r="7" spans="1:16" x14ac:dyDescent="0.25">
      <c r="A7" s="2">
        <v>45814</v>
      </c>
      <c r="B7" s="1" t="s">
        <v>19</v>
      </c>
      <c r="C7" s="1">
        <v>8391</v>
      </c>
      <c r="D7" s="1">
        <v>1800</v>
      </c>
      <c r="E7" s="1">
        <v>167</v>
      </c>
      <c r="F7" s="1">
        <f t="shared" si="0"/>
        <v>6424</v>
      </c>
      <c r="G7" s="1">
        <v>2029</v>
      </c>
      <c r="H7" s="1">
        <v>120</v>
      </c>
      <c r="I7" s="1">
        <f t="shared" si="1"/>
        <v>8391</v>
      </c>
      <c r="J7" s="1">
        <f t="shared" si="2"/>
        <v>2149</v>
      </c>
      <c r="L7" s="1">
        <f t="shared" si="3"/>
        <v>6242</v>
      </c>
      <c r="M7" s="1">
        <v>6240</v>
      </c>
      <c r="N7" s="1">
        <f t="shared" ref="N7:N12" si="4">SUM(M7-L7)</f>
        <v>-2</v>
      </c>
    </row>
    <row r="8" spans="1:16" x14ac:dyDescent="0.25">
      <c r="A8" s="2">
        <v>45815</v>
      </c>
      <c r="B8" s="1" t="s">
        <v>20</v>
      </c>
      <c r="C8" s="1">
        <v>9396</v>
      </c>
      <c r="D8" s="1">
        <v>650</v>
      </c>
      <c r="E8" s="1">
        <v>223</v>
      </c>
      <c r="F8" s="1">
        <f t="shared" si="0"/>
        <v>8523</v>
      </c>
      <c r="G8" s="1">
        <v>1762</v>
      </c>
      <c r="H8" s="1">
        <v>880</v>
      </c>
      <c r="I8" s="1">
        <f t="shared" si="1"/>
        <v>9396</v>
      </c>
      <c r="J8" s="1">
        <f t="shared" si="2"/>
        <v>2642</v>
      </c>
      <c r="L8" s="1">
        <f t="shared" si="3"/>
        <v>6754</v>
      </c>
      <c r="M8" s="1">
        <v>4764</v>
      </c>
      <c r="N8" s="1">
        <f t="shared" si="4"/>
        <v>-1990</v>
      </c>
    </row>
    <row r="9" spans="1:16" s="6" customFormat="1" x14ac:dyDescent="0.25">
      <c r="A9" s="5">
        <v>45816</v>
      </c>
      <c r="B9" s="6" t="s">
        <v>14</v>
      </c>
      <c r="C9" s="6">
        <v>0</v>
      </c>
      <c r="D9" s="6">
        <v>0</v>
      </c>
      <c r="E9" s="6">
        <v>0</v>
      </c>
      <c r="F9" s="6">
        <f t="shared" si="0"/>
        <v>0</v>
      </c>
      <c r="G9" s="6">
        <v>0</v>
      </c>
      <c r="H9" s="6">
        <v>0</v>
      </c>
      <c r="I9" s="6">
        <f t="shared" si="1"/>
        <v>0</v>
      </c>
      <c r="J9" s="6">
        <f>SUM(G9,H9)</f>
        <v>0</v>
      </c>
      <c r="L9" s="6">
        <f t="shared" si="3"/>
        <v>0</v>
      </c>
      <c r="M9" s="6">
        <v>0</v>
      </c>
      <c r="N9" s="6">
        <f t="shared" si="4"/>
        <v>0</v>
      </c>
      <c r="O9" s="6">
        <v>0</v>
      </c>
    </row>
    <row r="10" spans="1:16" x14ac:dyDescent="0.25">
      <c r="A10" s="2">
        <v>45817</v>
      </c>
      <c r="B10" s="1" t="s">
        <v>15</v>
      </c>
      <c r="C10" s="1">
        <v>17292</v>
      </c>
      <c r="D10" s="1">
        <v>3300</v>
      </c>
      <c r="E10" s="1">
        <v>282</v>
      </c>
      <c r="F10" s="1">
        <f t="shared" si="0"/>
        <v>13710</v>
      </c>
      <c r="G10" s="1">
        <v>4523</v>
      </c>
      <c r="H10" s="1">
        <v>143</v>
      </c>
      <c r="I10" s="1">
        <f t="shared" si="1"/>
        <v>17292</v>
      </c>
      <c r="J10" s="1">
        <f t="shared" si="2"/>
        <v>4666</v>
      </c>
      <c r="L10" s="1">
        <f t="shared" si="3"/>
        <v>12626</v>
      </c>
      <c r="M10" s="1">
        <v>12640</v>
      </c>
      <c r="N10" s="1">
        <f t="shared" si="4"/>
        <v>14</v>
      </c>
    </row>
    <row r="11" spans="1:16" x14ac:dyDescent="0.25">
      <c r="A11" s="2">
        <v>45818</v>
      </c>
      <c r="B11" s="1" t="s">
        <v>16</v>
      </c>
      <c r="C11" s="1">
        <v>10649</v>
      </c>
      <c r="D11" s="1">
        <v>1800</v>
      </c>
      <c r="E11" s="1">
        <v>159</v>
      </c>
      <c r="F11" s="1">
        <f t="shared" si="0"/>
        <v>8690</v>
      </c>
      <c r="G11" s="1">
        <v>3463</v>
      </c>
      <c r="H11" s="1">
        <v>156</v>
      </c>
      <c r="I11" s="1">
        <f t="shared" si="1"/>
        <v>10649</v>
      </c>
      <c r="J11" s="1">
        <f t="shared" si="2"/>
        <v>3619</v>
      </c>
      <c r="L11" s="1">
        <f t="shared" si="3"/>
        <v>7030</v>
      </c>
      <c r="M11" s="1">
        <v>7130</v>
      </c>
      <c r="N11" s="1">
        <f t="shared" si="4"/>
        <v>100</v>
      </c>
      <c r="O11" s="1" t="s">
        <v>23</v>
      </c>
    </row>
    <row r="12" spans="1:16" x14ac:dyDescent="0.25">
      <c r="A12" s="2">
        <v>45819</v>
      </c>
      <c r="B12" s="1" t="s">
        <v>17</v>
      </c>
      <c r="C12" s="1">
        <v>11463</v>
      </c>
      <c r="D12" s="1">
        <v>1800</v>
      </c>
      <c r="E12" s="1">
        <v>137</v>
      </c>
      <c r="F12" s="1">
        <f t="shared" si="0"/>
        <v>9526</v>
      </c>
      <c r="G12" s="1">
        <v>1135</v>
      </c>
      <c r="H12" s="1">
        <v>94</v>
      </c>
      <c r="I12" s="1">
        <f t="shared" si="1"/>
        <v>11463</v>
      </c>
      <c r="J12" s="1">
        <f t="shared" si="2"/>
        <v>1229</v>
      </c>
      <c r="L12" s="1">
        <f t="shared" si="3"/>
        <v>10234</v>
      </c>
      <c r="M12" s="1">
        <v>9986</v>
      </c>
      <c r="N12" s="1">
        <f t="shared" si="4"/>
        <v>-248</v>
      </c>
      <c r="O12" s="1" t="s">
        <v>22</v>
      </c>
    </row>
    <row r="13" spans="1:16" x14ac:dyDescent="0.25">
      <c r="A13" s="2">
        <v>45820</v>
      </c>
      <c r="B13" s="1" t="s">
        <v>18</v>
      </c>
      <c r="C13" s="1">
        <v>20551</v>
      </c>
      <c r="D13" s="1">
        <v>3300</v>
      </c>
      <c r="E13" s="1">
        <v>200</v>
      </c>
      <c r="F13" s="1">
        <f t="shared" si="0"/>
        <v>17051</v>
      </c>
      <c r="G13" s="1">
        <v>5899</v>
      </c>
      <c r="H13" s="1">
        <v>110</v>
      </c>
      <c r="I13" s="1">
        <f t="shared" si="1"/>
        <v>20551</v>
      </c>
      <c r="J13" s="1">
        <f t="shared" si="2"/>
        <v>6009</v>
      </c>
      <c r="L13" s="1">
        <f t="shared" si="3"/>
        <v>14542</v>
      </c>
      <c r="M13" s="1">
        <v>14891</v>
      </c>
      <c r="N13" s="1">
        <f t="shared" ref="N13:N34" si="5">SUM(M13-L13)</f>
        <v>349</v>
      </c>
    </row>
    <row r="14" spans="1:16" x14ac:dyDescent="0.25">
      <c r="A14" s="2">
        <v>45821</v>
      </c>
      <c r="B14" s="1" t="s">
        <v>19</v>
      </c>
      <c r="C14" s="1">
        <v>11685</v>
      </c>
      <c r="D14" s="1">
        <v>2700</v>
      </c>
      <c r="E14" s="1">
        <v>257</v>
      </c>
      <c r="F14" s="1">
        <f t="shared" si="0"/>
        <v>8728</v>
      </c>
      <c r="G14" s="1">
        <v>1311</v>
      </c>
      <c r="H14" s="1">
        <v>186</v>
      </c>
      <c r="I14" s="1">
        <f t="shared" si="1"/>
        <v>11685</v>
      </c>
      <c r="J14" s="1">
        <f t="shared" si="2"/>
        <v>1497</v>
      </c>
      <c r="L14" s="1">
        <f t="shared" si="3"/>
        <v>10188</v>
      </c>
      <c r="M14" s="1">
        <v>10190</v>
      </c>
      <c r="N14" s="1">
        <f t="shared" si="5"/>
        <v>2</v>
      </c>
    </row>
    <row r="15" spans="1:16" x14ac:dyDescent="0.25">
      <c r="A15" s="2">
        <v>45822</v>
      </c>
      <c r="B15" s="1" t="s">
        <v>20</v>
      </c>
      <c r="C15" s="1">
        <v>14892</v>
      </c>
      <c r="D15" s="1">
        <v>2400</v>
      </c>
      <c r="E15" s="1">
        <v>117</v>
      </c>
      <c r="F15" s="1">
        <f t="shared" si="0"/>
        <v>12375</v>
      </c>
      <c r="G15" s="1">
        <v>3894</v>
      </c>
      <c r="H15" s="1">
        <v>344</v>
      </c>
      <c r="I15" s="1">
        <f t="shared" si="1"/>
        <v>14892</v>
      </c>
      <c r="J15" s="1">
        <f t="shared" si="2"/>
        <v>4238</v>
      </c>
      <c r="L15" s="1">
        <f t="shared" si="3"/>
        <v>10654</v>
      </c>
      <c r="M15" s="1">
        <v>10660</v>
      </c>
      <c r="N15" s="1">
        <f t="shared" si="5"/>
        <v>6</v>
      </c>
    </row>
    <row r="16" spans="1:16" s="6" customFormat="1" x14ac:dyDescent="0.25">
      <c r="A16" s="5">
        <v>45823</v>
      </c>
      <c r="B16" s="6" t="s">
        <v>14</v>
      </c>
      <c r="C16" s="6">
        <v>1646</v>
      </c>
      <c r="D16" s="6">
        <v>0</v>
      </c>
      <c r="E16" s="6">
        <v>0</v>
      </c>
      <c r="F16" s="6">
        <f t="shared" si="0"/>
        <v>1646</v>
      </c>
      <c r="G16" s="6">
        <v>337</v>
      </c>
      <c r="H16" s="6">
        <v>0</v>
      </c>
      <c r="I16" s="6">
        <f t="shared" si="1"/>
        <v>1646</v>
      </c>
      <c r="J16" s="6">
        <f t="shared" si="2"/>
        <v>337</v>
      </c>
      <c r="L16" s="6">
        <f t="shared" si="3"/>
        <v>1309</v>
      </c>
      <c r="M16" s="6">
        <v>1310</v>
      </c>
      <c r="N16" s="6">
        <f t="shared" si="5"/>
        <v>1</v>
      </c>
    </row>
    <row r="17" spans="1:16" x14ac:dyDescent="0.25">
      <c r="A17" s="2">
        <v>45824</v>
      </c>
      <c r="B17" s="1" t="s">
        <v>15</v>
      </c>
      <c r="C17" s="1">
        <v>17442</v>
      </c>
      <c r="D17" s="1">
        <v>4000</v>
      </c>
      <c r="E17" s="1">
        <v>525</v>
      </c>
      <c r="F17" s="1">
        <f t="shared" si="0"/>
        <v>12917</v>
      </c>
      <c r="G17" s="1">
        <v>1845</v>
      </c>
      <c r="H17" s="1">
        <v>78</v>
      </c>
      <c r="I17" s="1">
        <f t="shared" si="1"/>
        <v>17442</v>
      </c>
      <c r="J17" s="1">
        <f t="shared" si="2"/>
        <v>1923</v>
      </c>
      <c r="L17" s="1">
        <f>SUM(I17-J17)</f>
        <v>15519</v>
      </c>
      <c r="M17" s="1">
        <v>15520</v>
      </c>
      <c r="N17" s="1">
        <f t="shared" si="5"/>
        <v>1</v>
      </c>
    </row>
    <row r="18" spans="1:16" x14ac:dyDescent="0.25">
      <c r="A18" s="2">
        <v>45825</v>
      </c>
      <c r="B18" s="1" t="s">
        <v>16</v>
      </c>
      <c r="C18" s="1">
        <v>14725</v>
      </c>
      <c r="D18" s="1">
        <v>3400</v>
      </c>
      <c r="E18" s="1">
        <v>276</v>
      </c>
      <c r="F18" s="1">
        <f t="shared" si="0"/>
        <v>11049</v>
      </c>
      <c r="G18" s="1">
        <v>3305</v>
      </c>
      <c r="H18" s="1">
        <v>138</v>
      </c>
      <c r="I18" s="1">
        <f t="shared" si="1"/>
        <v>14725</v>
      </c>
      <c r="J18" s="1">
        <f t="shared" si="2"/>
        <v>3443</v>
      </c>
      <c r="K18" s="1">
        <v>100</v>
      </c>
      <c r="L18" s="1">
        <f>SUM(I18,K18-J18)</f>
        <v>11382</v>
      </c>
      <c r="M18" s="1">
        <v>11500</v>
      </c>
      <c r="N18" s="1">
        <f t="shared" si="5"/>
        <v>118</v>
      </c>
      <c r="O18" s="1" t="s">
        <v>26</v>
      </c>
    </row>
    <row r="19" spans="1:16" x14ac:dyDescent="0.25">
      <c r="A19" s="2">
        <v>45826</v>
      </c>
      <c r="B19" s="1" t="s">
        <v>17</v>
      </c>
      <c r="C19" s="1">
        <v>29583</v>
      </c>
      <c r="D19" s="1">
        <v>3750</v>
      </c>
      <c r="E19" s="1">
        <v>44</v>
      </c>
      <c r="F19" s="1">
        <f t="shared" si="0"/>
        <v>25789</v>
      </c>
      <c r="G19" s="1">
        <v>8255</v>
      </c>
      <c r="H19" s="1">
        <v>86</v>
      </c>
      <c r="I19" s="1">
        <f t="shared" si="1"/>
        <v>29583</v>
      </c>
      <c r="J19" s="1">
        <f t="shared" si="2"/>
        <v>8341</v>
      </c>
      <c r="L19" s="1">
        <f>SUM(I19,K19-J19)</f>
        <v>21242</v>
      </c>
      <c r="M19" s="1">
        <v>21200</v>
      </c>
      <c r="N19" s="1">
        <f t="shared" si="5"/>
        <v>-42</v>
      </c>
      <c r="O19" s="1" t="s">
        <v>27</v>
      </c>
    </row>
    <row r="20" spans="1:16" x14ac:dyDescent="0.25">
      <c r="A20" s="2">
        <v>45827</v>
      </c>
      <c r="B20" s="1" t="s">
        <v>18</v>
      </c>
      <c r="C20" s="1">
        <v>16358</v>
      </c>
      <c r="D20" s="1">
        <v>2550</v>
      </c>
      <c r="E20" s="1">
        <v>353</v>
      </c>
      <c r="F20" s="1">
        <f t="shared" si="0"/>
        <v>13455</v>
      </c>
      <c r="G20" s="1">
        <v>2908</v>
      </c>
      <c r="H20" s="1">
        <v>110</v>
      </c>
      <c r="I20" s="1">
        <f t="shared" si="1"/>
        <v>16358</v>
      </c>
      <c r="J20" s="1">
        <f t="shared" si="2"/>
        <v>3018</v>
      </c>
      <c r="K20" s="1">
        <v>40</v>
      </c>
      <c r="L20" s="1">
        <f>SUM(I20,K20-J20)</f>
        <v>13380</v>
      </c>
      <c r="M20" s="1">
        <v>13340</v>
      </c>
      <c r="N20" s="1">
        <f>SUM(M20-L20)</f>
        <v>-40</v>
      </c>
    </row>
    <row r="21" spans="1:16" x14ac:dyDescent="0.25">
      <c r="A21" s="2">
        <v>45828</v>
      </c>
      <c r="B21" s="1" t="s">
        <v>19</v>
      </c>
      <c r="C21" s="1">
        <v>11089</v>
      </c>
      <c r="D21" s="1">
        <v>3000</v>
      </c>
      <c r="E21" s="1">
        <v>20</v>
      </c>
      <c r="F21" s="1">
        <f>SUM(C21-D21-E21)</f>
        <v>8069</v>
      </c>
      <c r="G21" s="1">
        <v>2488</v>
      </c>
      <c r="H21" s="1">
        <v>163</v>
      </c>
      <c r="I21" s="1">
        <f>SUM(D21,E21,F21)</f>
        <v>11089</v>
      </c>
      <c r="J21" s="1">
        <f t="shared" si="2"/>
        <v>2651</v>
      </c>
      <c r="K21" s="1">
        <v>500</v>
      </c>
      <c r="L21" s="1">
        <f>SUM(I21,K21-J21)</f>
        <v>8938</v>
      </c>
      <c r="M21" s="1">
        <v>8130</v>
      </c>
      <c r="N21" s="1">
        <f t="shared" si="5"/>
        <v>-808</v>
      </c>
      <c r="O21" s="1" t="s">
        <v>34</v>
      </c>
      <c r="P21" s="1" t="s">
        <v>31</v>
      </c>
    </row>
    <row r="22" spans="1:16" x14ac:dyDescent="0.25">
      <c r="A22" s="2">
        <v>45829</v>
      </c>
      <c r="B22" s="1" t="s">
        <v>20</v>
      </c>
      <c r="C22" s="1">
        <v>29516</v>
      </c>
      <c r="D22" s="1">
        <v>3750</v>
      </c>
      <c r="E22" s="1">
        <v>0</v>
      </c>
      <c r="F22" s="1">
        <f t="shared" si="0"/>
        <v>25766</v>
      </c>
      <c r="G22" s="1">
        <v>5046</v>
      </c>
      <c r="H22" s="1">
        <v>527</v>
      </c>
      <c r="I22" s="1">
        <f t="shared" si="1"/>
        <v>29516</v>
      </c>
      <c r="J22" s="1">
        <f t="shared" si="2"/>
        <v>5573</v>
      </c>
      <c r="K22" s="1">
        <v>297</v>
      </c>
      <c r="L22" s="1">
        <f>SUM(I22,K22-J22)</f>
        <v>24240</v>
      </c>
      <c r="M22" s="1">
        <v>18530</v>
      </c>
      <c r="N22" s="1">
        <f t="shared" si="5"/>
        <v>-5710</v>
      </c>
      <c r="O22" s="1">
        <v>5878</v>
      </c>
      <c r="P22" s="1" t="s">
        <v>28</v>
      </c>
    </row>
    <row r="23" spans="1:16" s="6" customFormat="1" x14ac:dyDescent="0.25">
      <c r="A23" s="5">
        <v>45830</v>
      </c>
      <c r="B23" s="6" t="s">
        <v>14</v>
      </c>
    </row>
    <row r="24" spans="1:16" x14ac:dyDescent="0.25">
      <c r="A24" s="2">
        <v>45831</v>
      </c>
      <c r="B24" s="1" t="s">
        <v>15</v>
      </c>
      <c r="C24" s="1">
        <v>17403</v>
      </c>
      <c r="D24" s="1">
        <v>3200</v>
      </c>
      <c r="E24" s="1">
        <v>6</v>
      </c>
      <c r="F24" s="1">
        <f t="shared" si="0"/>
        <v>14197</v>
      </c>
      <c r="G24" s="1">
        <v>1280</v>
      </c>
      <c r="H24" s="1">
        <v>675</v>
      </c>
      <c r="I24" s="1">
        <f t="shared" si="1"/>
        <v>17403</v>
      </c>
      <c r="J24" s="1">
        <f t="shared" si="2"/>
        <v>1955</v>
      </c>
      <c r="K24" s="1">
        <v>20</v>
      </c>
      <c r="L24" s="1">
        <f t="shared" ref="L24:L25" si="6">SUM(I24,K24-J24)</f>
        <v>15468</v>
      </c>
      <c r="M24" s="1">
        <v>13950</v>
      </c>
      <c r="N24" s="1">
        <f t="shared" si="5"/>
        <v>-1518</v>
      </c>
      <c r="O24" s="1" t="s">
        <v>29</v>
      </c>
      <c r="P24" s="1" t="s">
        <v>32</v>
      </c>
    </row>
    <row r="25" spans="1:16" x14ac:dyDescent="0.25">
      <c r="A25" s="2">
        <v>45832</v>
      </c>
      <c r="B25" s="1" t="s">
        <v>16</v>
      </c>
      <c r="C25" s="1">
        <v>10295</v>
      </c>
      <c r="D25" s="1">
        <v>2250</v>
      </c>
      <c r="E25" s="1">
        <v>0</v>
      </c>
      <c r="F25" s="1">
        <f t="shared" si="0"/>
        <v>8045</v>
      </c>
      <c r="G25" s="1">
        <v>1985</v>
      </c>
      <c r="H25" s="1">
        <v>380</v>
      </c>
      <c r="I25" s="1">
        <f t="shared" si="1"/>
        <v>10295</v>
      </c>
      <c r="J25" s="1">
        <f t="shared" si="2"/>
        <v>2365</v>
      </c>
      <c r="K25" s="1">
        <v>150</v>
      </c>
      <c r="L25" s="1">
        <f t="shared" si="6"/>
        <v>8080</v>
      </c>
      <c r="M25" s="1">
        <v>8100</v>
      </c>
      <c r="N25" s="1">
        <f t="shared" si="5"/>
        <v>20</v>
      </c>
      <c r="O25" s="1" t="s">
        <v>30</v>
      </c>
    </row>
    <row r="26" spans="1:16" x14ac:dyDescent="0.25">
      <c r="A26" s="2">
        <v>45833</v>
      </c>
      <c r="B26" s="1" t="s">
        <v>17</v>
      </c>
      <c r="C26" s="1">
        <v>10826</v>
      </c>
      <c r="D26" s="1">
        <v>1050</v>
      </c>
      <c r="E26" s="1">
        <v>127</v>
      </c>
      <c r="F26" s="1">
        <f t="shared" si="0"/>
        <v>9649</v>
      </c>
      <c r="G26" s="1">
        <v>2524</v>
      </c>
      <c r="H26" s="1">
        <v>315</v>
      </c>
      <c r="I26" s="1">
        <f t="shared" si="1"/>
        <v>10826</v>
      </c>
      <c r="J26" s="1">
        <f t="shared" si="2"/>
        <v>2839</v>
      </c>
      <c r="K26" s="1">
        <v>351</v>
      </c>
      <c r="L26" s="1">
        <f>SUM(I26,K26-J26)</f>
        <v>8338</v>
      </c>
      <c r="M26" s="1">
        <v>8340</v>
      </c>
      <c r="N26" s="1">
        <f t="shared" si="5"/>
        <v>2</v>
      </c>
    </row>
    <row r="27" spans="1:16" x14ac:dyDescent="0.25">
      <c r="A27" s="2">
        <v>45834</v>
      </c>
      <c r="B27" s="1" t="s">
        <v>18</v>
      </c>
      <c r="C27" s="1">
        <v>11265</v>
      </c>
      <c r="D27" s="1">
        <v>1500</v>
      </c>
      <c r="E27" s="1">
        <v>13</v>
      </c>
      <c r="F27" s="1">
        <f t="shared" ref="F27:F34" si="7">SUM(C27-D27-E27)</f>
        <v>9752</v>
      </c>
      <c r="G27" s="1">
        <v>5774</v>
      </c>
      <c r="H27" s="1">
        <v>1435</v>
      </c>
      <c r="I27" s="1">
        <f t="shared" si="1"/>
        <v>11265</v>
      </c>
      <c r="J27" s="1">
        <f t="shared" si="2"/>
        <v>7209</v>
      </c>
      <c r="L27" s="1">
        <f t="shared" ref="L27:L29" si="8">SUM(I27,K27-J27)</f>
        <v>4056</v>
      </c>
      <c r="M27" s="1">
        <v>4060</v>
      </c>
      <c r="N27" s="1">
        <f t="shared" si="5"/>
        <v>4</v>
      </c>
    </row>
    <row r="28" spans="1:16" x14ac:dyDescent="0.25">
      <c r="A28" s="2">
        <v>45835</v>
      </c>
      <c r="B28" s="1" t="s">
        <v>19</v>
      </c>
      <c r="C28" s="1">
        <v>22213</v>
      </c>
      <c r="D28" s="1">
        <v>3400</v>
      </c>
      <c r="E28" s="1">
        <v>0</v>
      </c>
      <c r="F28" s="1">
        <f t="shared" si="7"/>
        <v>18813</v>
      </c>
      <c r="G28" s="1">
        <v>8240</v>
      </c>
      <c r="H28" s="1">
        <v>235</v>
      </c>
      <c r="I28" s="1">
        <f t="shared" si="1"/>
        <v>22213</v>
      </c>
      <c r="J28" s="1">
        <f t="shared" si="2"/>
        <v>8475</v>
      </c>
      <c r="K28" s="1">
        <v>155</v>
      </c>
      <c r="L28" s="1">
        <f>SUM(I28,K28-J28)</f>
        <v>13893</v>
      </c>
      <c r="M28" s="1">
        <v>13762</v>
      </c>
      <c r="N28" s="1">
        <f t="shared" si="5"/>
        <v>-131</v>
      </c>
      <c r="O28" s="1" t="s">
        <v>33</v>
      </c>
      <c r="P28" s="1" t="s">
        <v>38</v>
      </c>
    </row>
    <row r="29" spans="1:16" x14ac:dyDescent="0.25">
      <c r="A29" s="2">
        <v>45836</v>
      </c>
      <c r="B29" s="1" t="s">
        <v>20</v>
      </c>
      <c r="C29" s="1">
        <v>26132</v>
      </c>
      <c r="D29" s="1">
        <v>3000</v>
      </c>
      <c r="E29" s="1">
        <v>0</v>
      </c>
      <c r="F29" s="1">
        <f t="shared" si="7"/>
        <v>23132</v>
      </c>
      <c r="G29" s="1">
        <v>5744</v>
      </c>
      <c r="H29" s="1">
        <v>190</v>
      </c>
      <c r="I29" s="1">
        <f t="shared" si="1"/>
        <v>26132</v>
      </c>
      <c r="J29" s="1">
        <f t="shared" si="2"/>
        <v>5934</v>
      </c>
      <c r="K29" s="1">
        <v>238</v>
      </c>
      <c r="L29" s="1">
        <f t="shared" si="8"/>
        <v>20436</v>
      </c>
      <c r="M29" s="1">
        <v>18088</v>
      </c>
      <c r="N29" s="1">
        <f t="shared" si="5"/>
        <v>-2348</v>
      </c>
      <c r="O29" s="1" t="s">
        <v>35</v>
      </c>
      <c r="P29" s="1" t="s">
        <v>39</v>
      </c>
    </row>
    <row r="30" spans="1:16" s="6" customFormat="1" x14ac:dyDescent="0.25">
      <c r="A30" s="5">
        <v>45837</v>
      </c>
      <c r="B30" s="6" t="s">
        <v>14</v>
      </c>
      <c r="C30" s="6">
        <v>5275</v>
      </c>
      <c r="D30" s="6">
        <v>600</v>
      </c>
      <c r="E30" s="6">
        <v>0</v>
      </c>
      <c r="F30" s="6">
        <f t="shared" si="7"/>
        <v>4675</v>
      </c>
      <c r="G30" s="6">
        <v>354</v>
      </c>
      <c r="H30" s="6">
        <v>0</v>
      </c>
      <c r="I30" s="6">
        <f t="shared" si="1"/>
        <v>5275</v>
      </c>
      <c r="J30" s="6">
        <f t="shared" si="2"/>
        <v>354</v>
      </c>
      <c r="K30" s="6">
        <v>1900</v>
      </c>
      <c r="L30" s="1">
        <f>SUM(I30,K30-J30)</f>
        <v>6821</v>
      </c>
      <c r="M30" s="6">
        <v>5010</v>
      </c>
      <c r="N30" s="6">
        <f t="shared" si="5"/>
        <v>-1811</v>
      </c>
      <c r="O30" s="6" t="s">
        <v>36</v>
      </c>
    </row>
    <row r="31" spans="1:16" x14ac:dyDescent="0.25">
      <c r="A31" s="2">
        <v>45838</v>
      </c>
      <c r="B31" s="1" t="s">
        <v>15</v>
      </c>
      <c r="C31" s="1">
        <v>20885</v>
      </c>
      <c r="D31" s="1">
        <v>3600</v>
      </c>
      <c r="E31" s="1">
        <v>0</v>
      </c>
      <c r="F31" s="1">
        <f t="shared" si="7"/>
        <v>17285</v>
      </c>
      <c r="G31" s="1">
        <v>3658</v>
      </c>
      <c r="H31" s="1">
        <v>88</v>
      </c>
      <c r="I31" s="1">
        <f t="shared" si="1"/>
        <v>20885</v>
      </c>
      <c r="J31" s="1">
        <f t="shared" si="2"/>
        <v>3746</v>
      </c>
      <c r="K31" s="1">
        <v>50</v>
      </c>
      <c r="L31" s="1">
        <f>SUM(I31,K31-J31)</f>
        <v>17189</v>
      </c>
      <c r="M31" s="1">
        <v>16950</v>
      </c>
      <c r="N31" s="1">
        <f t="shared" si="5"/>
        <v>-239</v>
      </c>
      <c r="O31" s="1" t="s">
        <v>37</v>
      </c>
    </row>
    <row r="32" spans="1:16" x14ac:dyDescent="0.25">
      <c r="A32" s="2"/>
    </row>
    <row r="33" spans="1:1" x14ac:dyDescent="0.25">
      <c r="A33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KABILAN</dc:creator>
  <cp:lastModifiedBy>Kabilan Padmanaban</cp:lastModifiedBy>
  <dcterms:created xsi:type="dcterms:W3CDTF">2015-06-05T18:17:20Z</dcterms:created>
  <dcterms:modified xsi:type="dcterms:W3CDTF">2025-10-17T15:12:48Z</dcterms:modified>
</cp:coreProperties>
</file>