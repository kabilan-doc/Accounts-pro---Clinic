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07355C7A-63A8-4587-AA6F-8D0B9F9B5A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1" l="1"/>
  <c r="L36" i="1"/>
  <c r="J36" i="1"/>
  <c r="H36" i="1"/>
  <c r="G36" i="1"/>
  <c r="D36" i="1"/>
  <c r="C36" i="1"/>
  <c r="E36" i="1"/>
  <c r="K31" i="1"/>
  <c r="F31" i="1"/>
  <c r="I31" i="1" s="1"/>
  <c r="Q36" i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4" i="1"/>
  <c r="F4" i="1"/>
  <c r="I4" i="1" s="1"/>
  <c r="F5" i="1"/>
  <c r="I5" i="1" s="1"/>
  <c r="K3" i="1"/>
  <c r="F3" i="1"/>
  <c r="I3" i="1" s="1"/>
  <c r="K2" i="1"/>
  <c r="F2" i="1"/>
  <c r="I2" i="1" s="1"/>
  <c r="K36" i="1" l="1"/>
  <c r="F36" i="1"/>
  <c r="M3" i="1"/>
  <c r="O3" i="1" s="1"/>
  <c r="I36" i="1"/>
  <c r="M31" i="1"/>
  <c r="O31" i="1" s="1"/>
  <c r="M2" i="1"/>
  <c r="M4" i="1"/>
  <c r="O4" i="1" s="1"/>
  <c r="M5" i="1"/>
  <c r="O5" i="1" s="1"/>
  <c r="M30" i="1"/>
  <c r="O30" i="1" s="1"/>
  <c r="M22" i="1"/>
  <c r="O22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1" i="1"/>
  <c r="O21" i="1" s="1"/>
  <c r="M18" i="1"/>
  <c r="O18" i="1" s="1"/>
  <c r="M14" i="1"/>
  <c r="O14" i="1" s="1"/>
  <c r="M10" i="1"/>
  <c r="O10" i="1" s="1"/>
  <c r="M6" i="1"/>
  <c r="O6" i="1" s="1"/>
  <c r="M17" i="1"/>
  <c r="O17" i="1" s="1"/>
  <c r="M13" i="1"/>
  <c r="O13" i="1" s="1"/>
  <c r="M9" i="1"/>
  <c r="O9" i="1" s="1"/>
  <c r="M20" i="1"/>
  <c r="O20" i="1" s="1"/>
  <c r="M16" i="1"/>
  <c r="M12" i="1"/>
  <c r="O12" i="1" s="1"/>
  <c r="M8" i="1"/>
  <c r="O8" i="1" s="1"/>
  <c r="M19" i="1"/>
  <c r="O19" i="1" s="1"/>
  <c r="M15" i="1"/>
  <c r="O15" i="1" s="1"/>
  <c r="M11" i="1"/>
  <c r="O11" i="1" s="1"/>
  <c r="M7" i="1"/>
  <c r="O7" i="1" s="1"/>
  <c r="O2" i="1"/>
  <c r="O16" i="1" l="1"/>
  <c r="O36" i="1" l="1"/>
  <c r="M36" i="1"/>
</calcChain>
</file>

<file path=xl/sharedStrings.xml><?xml version="1.0" encoding="utf-8"?>
<sst xmlns="http://schemas.openxmlformats.org/spreadsheetml/2006/main" count="66" uniqueCount="43">
  <si>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</si>
  <si>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</si>
  <si>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</si>
  <si>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</si>
  <si>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</si>
  <si>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</si>
  <si>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</si>
  <si>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</si>
  <si>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</si>
  <si>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</si>
  <si>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</si>
  <si>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</si>
  <si>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</si>
  <si>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</si>
  <si>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</si>
  <si>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</si>
  <si>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</si>
  <si>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</si>
  <si>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</si>
  <si>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</si>
  <si>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</si>
  <si>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</si>
  <si>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</si>
  <si>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</si>
  <si>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8 excess</t>
  </si>
  <si>
    <t>vasanthi-6478</t>
  </si>
  <si>
    <t>MAHESH-1518,SAROJA-5</t>
  </si>
  <si>
    <t>368 kayal,</t>
  </si>
  <si>
    <t>MANIKANDAN 66,ARPUTHAMARY-50</t>
  </si>
  <si>
    <t>Dhanalakshmi 54</t>
  </si>
  <si>
    <t>pd-5199.chellaiyan-648</t>
  </si>
  <si>
    <t>400 vayana varsa</t>
  </si>
  <si>
    <t>515 DUE -CHELLAIYAN</t>
  </si>
  <si>
    <t>5d Deficit</t>
  </si>
  <si>
    <t>456 varsha,</t>
  </si>
  <si>
    <t>25 saami</t>
  </si>
  <si>
    <t xml:space="preserve">50 kalavathi </t>
  </si>
  <si>
    <t>377 manikandan</t>
  </si>
  <si>
    <t>1536 chellaiyan,50 desmi mary,30 ameera banu</t>
  </si>
  <si>
    <t>adichathu 200,mudhalaliku labam 200</t>
  </si>
  <si>
    <t>HARSHA VARTHINI 196, SATHYAPRIYA 3, PRAKASH 321,MANIKANDAN 274</t>
  </si>
  <si>
    <t xml:space="preserve">BANUMATHI 110, </t>
  </si>
  <si>
    <t>MONTH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</si>
</sst>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0" xfId="1" applyAlignment="1">
      <alignment horizontal="center"/>
    </xf>
    <xf numFmtId="0" fontId="3" fillId="3" borderId="1" xfId="2" applyAlignment="1">
      <alignment horizontal="center"/>
    </xf>
    <xf numFmtId="164" fontId="2" fillId="2" borderId="0" xfId="1" applyNumberFormat="1" applyAlignment="1">
      <alignment horizont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90" zoomScaleNormal="90" workbookViewId="0">
      <selection activeCell="C42" sqref="C42"/>
    </sheetView>
  </sheetViews>
  <sheetFormatPr defaultRowHeight="15" x14ac:dyDescent="0.25"/>
  <cols>
    <col min="1" max="1" width="18" style="1" bestFit="1" customWidth="1"/>
    <col min="2" max="2" width="12.140625" style="1" bestFit="1" customWidth="1"/>
    <col min="3" max="3" width="36.5703125" style="1" customWidth="1"/>
    <col min="4" max="4" width="35" style="1" customWidth="1"/>
    <col min="5" max="5" width="23.85546875" style="1" customWidth="1"/>
    <col min="6" max="6" width="36" style="1" customWidth="1"/>
    <col min="7" max="7" width="12.7109375" style="1" customWidth="1"/>
    <col min="8" max="8" width="17.7109375" style="1" customWidth="1"/>
    <col min="9" max="9" width="15.42578125" style="1" customWidth="1"/>
    <col min="10" max="10" width="20.5703125" style="1" customWidth="1"/>
    <col min="11" max="11" width="20.7109375" style="1" customWidth="1"/>
    <col min="12" max="12" width="11.85546875" style="1" customWidth="1"/>
    <col min="13" max="13" width="21" style="1" customWidth="1"/>
    <col min="14" max="14" width="22.85546875" style="1" customWidth="1"/>
    <col min="15" max="15" width="19" style="1" customWidth="1"/>
    <col min="16" max="16" width="46.85546875" style="1" customWidth="1"/>
    <col min="17" max="17" width="36.140625" style="1" customWidth="1"/>
    <col min="18" max="16384" width="9.140625" style="1"/>
  </cols>
  <sheetData>
    <row r="1" spans="1:17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15</v>
      </c>
      <c r="K1" s="4" t="s">
        <v>9</v>
      </c>
      <c r="L1" s="4" t="s">
        <v>23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25">
      <c r="A2" s="2">
        <v>45901</v>
      </c>
      <c r="B2" s="1" t="s">
        <v>22</v>
      </c>
      <c r="C2" s="1">
        <v>28538</v>
      </c>
      <c r="D2" s="1">
        <v>4650</v>
      </c>
      <c r="E2" s="1">
        <v>550</v>
      </c>
      <c r="F2" s="1">
        <f t="shared" ref="F2:F31" si="0">SUM(C2-D2-E2)</f>
        <v>23338</v>
      </c>
      <c r="G2" s="1">
        <v>5915</v>
      </c>
      <c r="H2" s="1">
        <v>569</v>
      </c>
      <c r="I2" s="1">
        <f t="shared" ref="I2:I31" si="1">SUM(D2,E2,F2)</f>
        <v>28538</v>
      </c>
      <c r="J2" s="1">
        <v>200</v>
      </c>
      <c r="K2" s="1">
        <f t="shared" ref="K2:K31" si="2">SUM(G2,H2)</f>
        <v>6484</v>
      </c>
      <c r="L2" s="1">
        <v>0</v>
      </c>
      <c r="M2" s="1">
        <f t="shared" ref="M2:M31" si="3">SUM(I2,J2-K2-L2)</f>
        <v>22254</v>
      </c>
      <c r="N2" s="1">
        <v>21613</v>
      </c>
      <c r="O2" s="1">
        <f t="shared" ref="O2:O31" si="4">SUM(N2-M2)</f>
        <v>-641</v>
      </c>
      <c r="P2" s="1" t="s">
        <v>25</v>
      </c>
      <c r="Q2" s="1" t="s">
        <v>24</v>
      </c>
    </row>
    <row r="3" spans="1:17" x14ac:dyDescent="0.25">
      <c r="A3" s="2">
        <v>45902</v>
      </c>
      <c r="B3" s="1" t="s">
        <v>16</v>
      </c>
      <c r="C3" s="1">
        <v>19823</v>
      </c>
      <c r="D3" s="1">
        <v>3900</v>
      </c>
      <c r="E3" s="1">
        <v>200</v>
      </c>
      <c r="F3" s="1">
        <f t="shared" si="0"/>
        <v>15723</v>
      </c>
      <c r="G3" s="1">
        <v>5674</v>
      </c>
      <c r="H3" s="1">
        <v>10</v>
      </c>
      <c r="I3" s="1">
        <f t="shared" si="1"/>
        <v>19823</v>
      </c>
      <c r="J3" s="1">
        <v>160</v>
      </c>
      <c r="K3" s="1">
        <f t="shared" si="2"/>
        <v>5684</v>
      </c>
      <c r="L3" s="1">
        <v>0</v>
      </c>
      <c r="M3" s="1">
        <f t="shared" si="3"/>
        <v>14299</v>
      </c>
      <c r="N3" s="1">
        <v>13974</v>
      </c>
      <c r="O3" s="1">
        <f t="shared" si="4"/>
        <v>-325</v>
      </c>
      <c r="P3" s="1" t="s">
        <v>27</v>
      </c>
    </row>
    <row r="4" spans="1:17" x14ac:dyDescent="0.25">
      <c r="A4" s="2">
        <v>45903</v>
      </c>
      <c r="B4" s="1" t="s">
        <v>17</v>
      </c>
      <c r="C4" s="1">
        <v>19227</v>
      </c>
      <c r="D4" s="1">
        <v>3150</v>
      </c>
      <c r="E4" s="1">
        <v>400</v>
      </c>
      <c r="F4" s="1">
        <f t="shared" si="0"/>
        <v>15677</v>
      </c>
      <c r="G4" s="1">
        <v>3019</v>
      </c>
      <c r="H4" s="1">
        <v>1730</v>
      </c>
      <c r="I4" s="1">
        <f t="shared" si="1"/>
        <v>19227</v>
      </c>
      <c r="J4" s="1">
        <v>0</v>
      </c>
      <c r="K4" s="1">
        <f t="shared" si="2"/>
        <v>4749</v>
      </c>
      <c r="L4" s="1">
        <v>0</v>
      </c>
      <c r="M4" s="1">
        <f t="shared" si="3"/>
        <v>14478</v>
      </c>
      <c r="N4" s="1">
        <v>14486</v>
      </c>
      <c r="O4" s="1">
        <f t="shared" si="4"/>
        <v>8</v>
      </c>
    </row>
    <row r="5" spans="1:17" x14ac:dyDescent="0.25">
      <c r="A5" s="2">
        <v>45904</v>
      </c>
      <c r="B5" s="1" t="s">
        <v>18</v>
      </c>
      <c r="C5" s="1">
        <v>10511</v>
      </c>
      <c r="D5" s="1">
        <v>2250</v>
      </c>
      <c r="E5" s="1">
        <v>350</v>
      </c>
      <c r="F5" s="1">
        <f t="shared" si="0"/>
        <v>7911</v>
      </c>
      <c r="G5" s="1">
        <v>2683</v>
      </c>
      <c r="H5" s="1">
        <v>867</v>
      </c>
      <c r="I5" s="1">
        <f t="shared" si="1"/>
        <v>10511</v>
      </c>
      <c r="J5" s="1">
        <v>0</v>
      </c>
      <c r="K5" s="1">
        <f t="shared" si="2"/>
        <v>3550</v>
      </c>
      <c r="L5" s="1">
        <v>0</v>
      </c>
      <c r="M5" s="1">
        <f t="shared" si="3"/>
        <v>6961</v>
      </c>
      <c r="N5" s="1">
        <v>6962</v>
      </c>
      <c r="O5" s="1">
        <f t="shared" si="4"/>
        <v>1</v>
      </c>
    </row>
    <row r="6" spans="1:17" x14ac:dyDescent="0.25">
      <c r="A6" s="2">
        <v>45905</v>
      </c>
      <c r="B6" s="1" t="s">
        <v>19</v>
      </c>
      <c r="C6" s="1">
        <v>24809</v>
      </c>
      <c r="D6" s="1">
        <v>4900</v>
      </c>
      <c r="E6" s="1">
        <v>450</v>
      </c>
      <c r="F6" s="1">
        <f t="shared" si="0"/>
        <v>19459</v>
      </c>
      <c r="G6" s="1">
        <v>8137</v>
      </c>
      <c r="H6" s="1">
        <v>187</v>
      </c>
      <c r="I6" s="1">
        <f t="shared" si="1"/>
        <v>24809</v>
      </c>
      <c r="J6" s="1">
        <v>780</v>
      </c>
      <c r="K6" s="1">
        <f t="shared" si="2"/>
        <v>8324</v>
      </c>
      <c r="L6" s="1">
        <v>0</v>
      </c>
      <c r="M6" s="1">
        <f t="shared" si="3"/>
        <v>17265</v>
      </c>
      <c r="N6" s="1">
        <v>15752</v>
      </c>
      <c r="O6" s="1">
        <f t="shared" si="4"/>
        <v>-1513</v>
      </c>
      <c r="P6" s="1" t="s">
        <v>26</v>
      </c>
      <c r="Q6" s="1">
        <v>5</v>
      </c>
    </row>
    <row r="7" spans="1:17" customFormat="1" x14ac:dyDescent="0.25">
      <c r="A7" s="2">
        <v>45906</v>
      </c>
      <c r="B7" t="s">
        <v>20</v>
      </c>
      <c r="C7" s="1">
        <v>23777</v>
      </c>
      <c r="D7" s="1">
        <v>5100</v>
      </c>
      <c r="E7" s="1">
        <v>245</v>
      </c>
      <c r="F7" s="1">
        <f t="shared" si="0"/>
        <v>18432</v>
      </c>
      <c r="G7" s="1">
        <v>3711</v>
      </c>
      <c r="H7" s="1">
        <v>571</v>
      </c>
      <c r="I7" s="1">
        <f t="shared" si="1"/>
        <v>23777</v>
      </c>
      <c r="J7" s="1">
        <v>0</v>
      </c>
      <c r="K7" s="1">
        <f t="shared" si="2"/>
        <v>4282</v>
      </c>
      <c r="L7" s="1">
        <v>0</v>
      </c>
      <c r="M7" s="1">
        <f t="shared" si="3"/>
        <v>19495</v>
      </c>
      <c r="N7" s="1">
        <v>19500</v>
      </c>
      <c r="O7" s="1">
        <f t="shared" si="4"/>
        <v>5</v>
      </c>
    </row>
    <row r="8" spans="1:17" s="3" customFormat="1" x14ac:dyDescent="0.25">
      <c r="A8" s="5">
        <v>45907</v>
      </c>
      <c r="B8" s="3" t="s">
        <v>21</v>
      </c>
      <c r="C8" s="3">
        <v>12362</v>
      </c>
      <c r="D8" s="3">
        <v>2400</v>
      </c>
      <c r="E8" s="3">
        <v>650</v>
      </c>
      <c r="F8" s="1">
        <f t="shared" si="0"/>
        <v>9312</v>
      </c>
      <c r="G8" s="3">
        <v>2999</v>
      </c>
      <c r="H8" s="3">
        <v>75</v>
      </c>
      <c r="I8" s="1">
        <f t="shared" si="1"/>
        <v>12362</v>
      </c>
      <c r="J8" s="3">
        <v>0</v>
      </c>
      <c r="K8" s="1">
        <f t="shared" si="2"/>
        <v>3074</v>
      </c>
      <c r="L8" s="3">
        <v>0</v>
      </c>
      <c r="M8" s="1">
        <f t="shared" si="3"/>
        <v>9288</v>
      </c>
      <c r="N8" s="3">
        <v>9288</v>
      </c>
      <c r="O8" s="3">
        <f t="shared" si="4"/>
        <v>0</v>
      </c>
    </row>
    <row r="9" spans="1:17" customFormat="1" x14ac:dyDescent="0.25">
      <c r="A9" s="2">
        <v>45908</v>
      </c>
      <c r="B9" s="1" t="s">
        <v>22</v>
      </c>
      <c r="C9" s="1">
        <v>30075</v>
      </c>
      <c r="D9" s="1">
        <v>5700</v>
      </c>
      <c r="E9" s="1">
        <v>629</v>
      </c>
      <c r="F9" s="1">
        <f t="shared" si="0"/>
        <v>23746</v>
      </c>
      <c r="G9" s="1">
        <v>3683</v>
      </c>
      <c r="H9" s="1">
        <v>1036</v>
      </c>
      <c r="I9" s="1">
        <f t="shared" si="1"/>
        <v>30075</v>
      </c>
      <c r="J9" s="1">
        <v>306</v>
      </c>
      <c r="K9" s="1">
        <f t="shared" si="2"/>
        <v>4719</v>
      </c>
      <c r="L9" s="1">
        <v>0</v>
      </c>
      <c r="M9" s="1">
        <f t="shared" si="3"/>
        <v>25662</v>
      </c>
      <c r="N9" s="1">
        <v>25815</v>
      </c>
      <c r="O9" s="1">
        <f t="shared" si="4"/>
        <v>153</v>
      </c>
    </row>
    <row r="10" spans="1:17" x14ac:dyDescent="0.25">
      <c r="A10" s="2">
        <v>45909</v>
      </c>
      <c r="B10" s="1" t="s">
        <v>16</v>
      </c>
      <c r="C10" s="1">
        <v>24009</v>
      </c>
      <c r="D10" s="1">
        <v>4650</v>
      </c>
      <c r="E10" s="1">
        <v>150</v>
      </c>
      <c r="F10" s="1">
        <f t="shared" si="0"/>
        <v>19209</v>
      </c>
      <c r="G10" s="1">
        <v>6657</v>
      </c>
      <c r="H10" s="1">
        <v>5</v>
      </c>
      <c r="I10" s="1">
        <f t="shared" si="1"/>
        <v>24009</v>
      </c>
      <c r="J10" s="1">
        <v>50</v>
      </c>
      <c r="K10" s="1">
        <f t="shared" si="2"/>
        <v>6662</v>
      </c>
      <c r="L10" s="1">
        <v>0</v>
      </c>
      <c r="M10" s="1">
        <f t="shared" si="3"/>
        <v>17397</v>
      </c>
      <c r="N10" s="1">
        <v>17375</v>
      </c>
      <c r="O10" s="1">
        <f t="shared" si="4"/>
        <v>-22</v>
      </c>
      <c r="P10" s="1" t="s">
        <v>28</v>
      </c>
      <c r="Q10" s="1">
        <v>94</v>
      </c>
    </row>
    <row r="11" spans="1:17" x14ac:dyDescent="0.25">
      <c r="A11" s="2">
        <v>45910</v>
      </c>
      <c r="B11" s="1" t="s">
        <v>17</v>
      </c>
      <c r="C11" s="1">
        <v>16330</v>
      </c>
      <c r="D11" s="1">
        <v>2850</v>
      </c>
      <c r="E11" s="1">
        <v>300</v>
      </c>
      <c r="F11" s="1">
        <f t="shared" si="0"/>
        <v>13180</v>
      </c>
      <c r="G11" s="1">
        <v>2552</v>
      </c>
      <c r="H11" s="1">
        <v>540</v>
      </c>
      <c r="I11" s="1">
        <f t="shared" si="1"/>
        <v>16330</v>
      </c>
      <c r="J11" s="1">
        <v>300</v>
      </c>
      <c r="K11" s="1">
        <f t="shared" si="2"/>
        <v>3092</v>
      </c>
      <c r="L11" s="1">
        <v>0</v>
      </c>
      <c r="M11" s="1">
        <f t="shared" si="3"/>
        <v>13538</v>
      </c>
      <c r="N11" s="1">
        <v>13535</v>
      </c>
      <c r="O11" s="1">
        <f t="shared" si="4"/>
        <v>-3</v>
      </c>
    </row>
    <row r="12" spans="1:17" x14ac:dyDescent="0.25">
      <c r="A12" s="2">
        <v>45911</v>
      </c>
      <c r="B12" s="1" t="s">
        <v>18</v>
      </c>
      <c r="C12" s="1">
        <v>22401</v>
      </c>
      <c r="D12" s="1">
        <v>4650</v>
      </c>
      <c r="E12" s="1">
        <v>231</v>
      </c>
      <c r="F12" s="1">
        <f t="shared" si="0"/>
        <v>17520</v>
      </c>
      <c r="G12" s="1">
        <v>6022</v>
      </c>
      <c r="H12" s="1">
        <v>2561</v>
      </c>
      <c r="I12" s="1">
        <f t="shared" si="1"/>
        <v>22401</v>
      </c>
      <c r="J12" s="1">
        <v>20</v>
      </c>
      <c r="K12" s="1">
        <f t="shared" si="2"/>
        <v>8583</v>
      </c>
      <c r="L12" s="1">
        <v>178</v>
      </c>
      <c r="M12" s="1">
        <f t="shared" si="3"/>
        <v>13660</v>
      </c>
      <c r="N12" s="1">
        <v>13615</v>
      </c>
      <c r="O12" s="1">
        <f t="shared" si="4"/>
        <v>-45</v>
      </c>
      <c r="P12" s="1" t="s">
        <v>29</v>
      </c>
    </row>
    <row r="13" spans="1:17" x14ac:dyDescent="0.25">
      <c r="A13" s="2">
        <v>45912</v>
      </c>
      <c r="B13" s="1" t="s">
        <v>19</v>
      </c>
      <c r="C13" s="1">
        <v>30088</v>
      </c>
      <c r="D13" s="1">
        <v>3600</v>
      </c>
      <c r="E13" s="1">
        <v>350</v>
      </c>
      <c r="F13" s="1">
        <f t="shared" si="0"/>
        <v>26138</v>
      </c>
      <c r="G13" s="1">
        <v>3716</v>
      </c>
      <c r="H13" s="1">
        <v>1866</v>
      </c>
      <c r="I13" s="1">
        <f t="shared" si="1"/>
        <v>30088</v>
      </c>
      <c r="J13" s="1">
        <v>32</v>
      </c>
      <c r="K13" s="1">
        <f t="shared" si="2"/>
        <v>5582</v>
      </c>
      <c r="L13" s="1">
        <v>0</v>
      </c>
      <c r="M13" s="1">
        <f t="shared" si="3"/>
        <v>24538</v>
      </c>
      <c r="N13" s="1">
        <v>18688</v>
      </c>
      <c r="O13" s="1">
        <f t="shared" si="4"/>
        <v>-5850</v>
      </c>
      <c r="P13" s="1" t="s">
        <v>30</v>
      </c>
    </row>
    <row r="14" spans="1:17" customFormat="1" x14ac:dyDescent="0.25">
      <c r="A14" s="2">
        <v>45913</v>
      </c>
      <c r="B14" t="s">
        <v>20</v>
      </c>
      <c r="C14" s="1">
        <v>27460</v>
      </c>
      <c r="D14" s="1">
        <v>5950</v>
      </c>
      <c r="E14" s="1">
        <v>922</v>
      </c>
      <c r="F14" s="1">
        <f t="shared" si="0"/>
        <v>20588</v>
      </c>
      <c r="G14" s="1">
        <v>6083</v>
      </c>
      <c r="H14" s="1">
        <v>357</v>
      </c>
      <c r="I14" s="1">
        <f t="shared" si="1"/>
        <v>27460</v>
      </c>
      <c r="J14" s="1">
        <v>489</v>
      </c>
      <c r="K14" s="1">
        <f t="shared" si="2"/>
        <v>6440</v>
      </c>
      <c r="L14" s="1">
        <v>0</v>
      </c>
      <c r="M14" s="1">
        <f t="shared" si="3"/>
        <v>21509</v>
      </c>
      <c r="N14" s="1">
        <v>21468</v>
      </c>
      <c r="O14" s="1">
        <f t="shared" si="4"/>
        <v>-41</v>
      </c>
    </row>
    <row r="15" spans="1:17" s="3" customFormat="1" x14ac:dyDescent="0.25">
      <c r="A15" s="5">
        <v>45914</v>
      </c>
      <c r="B15" s="3" t="s">
        <v>21</v>
      </c>
      <c r="C15" s="3">
        <v>22900</v>
      </c>
      <c r="D15" s="3">
        <v>3600</v>
      </c>
      <c r="E15" s="3">
        <v>250</v>
      </c>
      <c r="F15" s="1">
        <f t="shared" si="0"/>
        <v>19050</v>
      </c>
      <c r="G15" s="3">
        <v>5621</v>
      </c>
      <c r="H15" s="3">
        <v>49</v>
      </c>
      <c r="I15" s="1">
        <f t="shared" si="1"/>
        <v>22900</v>
      </c>
      <c r="J15" s="3">
        <v>0</v>
      </c>
      <c r="K15" s="1">
        <f t="shared" si="2"/>
        <v>5670</v>
      </c>
      <c r="L15" s="3">
        <v>83</v>
      </c>
      <c r="M15" s="1">
        <f t="shared" si="3"/>
        <v>17147</v>
      </c>
      <c r="N15" s="3">
        <v>17147</v>
      </c>
      <c r="O15" s="3">
        <f t="shared" si="4"/>
        <v>0</v>
      </c>
    </row>
    <row r="16" spans="1:17" customFormat="1" x14ac:dyDescent="0.25">
      <c r="A16" s="2">
        <v>45915</v>
      </c>
      <c r="B16" s="1" t="s">
        <v>22</v>
      </c>
      <c r="C16" s="1">
        <v>34197</v>
      </c>
      <c r="D16" s="1">
        <v>6150</v>
      </c>
      <c r="E16" s="1">
        <v>700</v>
      </c>
      <c r="F16" s="1">
        <f t="shared" si="0"/>
        <v>27347</v>
      </c>
      <c r="G16" s="1">
        <v>11340</v>
      </c>
      <c r="H16" s="1">
        <v>42</v>
      </c>
      <c r="I16" s="1">
        <f t="shared" si="1"/>
        <v>34197</v>
      </c>
      <c r="J16" s="1">
        <v>130</v>
      </c>
      <c r="K16" s="1">
        <f t="shared" si="2"/>
        <v>11382</v>
      </c>
      <c r="L16" s="1">
        <v>147</v>
      </c>
      <c r="M16" s="1">
        <f t="shared" si="3"/>
        <v>22798</v>
      </c>
      <c r="N16" s="1">
        <v>22400</v>
      </c>
      <c r="O16" s="1">
        <f t="shared" si="4"/>
        <v>-398</v>
      </c>
      <c r="P16" t="s">
        <v>31</v>
      </c>
    </row>
    <row r="17" spans="1:17" x14ac:dyDescent="0.25">
      <c r="A17" s="2">
        <v>45916</v>
      </c>
      <c r="B17" s="1" t="s">
        <v>16</v>
      </c>
      <c r="C17" s="1">
        <v>26596</v>
      </c>
      <c r="D17" s="1">
        <v>5400</v>
      </c>
      <c r="E17" s="1">
        <v>350</v>
      </c>
      <c r="F17" s="1">
        <f t="shared" si="0"/>
        <v>20846</v>
      </c>
      <c r="G17" s="1">
        <v>3799</v>
      </c>
      <c r="H17" s="1">
        <v>0</v>
      </c>
      <c r="I17" s="1">
        <f t="shared" si="1"/>
        <v>26596</v>
      </c>
      <c r="J17" s="1">
        <v>20</v>
      </c>
      <c r="K17" s="1">
        <f t="shared" si="2"/>
        <v>3799</v>
      </c>
      <c r="L17" s="1">
        <v>0</v>
      </c>
      <c r="M17" s="1">
        <f t="shared" si="3"/>
        <v>22817</v>
      </c>
      <c r="N17" s="1">
        <v>22900</v>
      </c>
      <c r="O17" s="1">
        <f t="shared" si="4"/>
        <v>83</v>
      </c>
    </row>
    <row r="18" spans="1:17" x14ac:dyDescent="0.25">
      <c r="A18" s="2">
        <v>45917</v>
      </c>
      <c r="B18" s="1" t="s">
        <v>17</v>
      </c>
      <c r="C18" s="1">
        <v>27447</v>
      </c>
      <c r="D18" s="1">
        <v>4800</v>
      </c>
      <c r="E18" s="1">
        <v>100</v>
      </c>
      <c r="F18" s="1">
        <f t="shared" si="0"/>
        <v>22547</v>
      </c>
      <c r="G18" s="1">
        <v>6259</v>
      </c>
      <c r="H18" s="1">
        <v>725</v>
      </c>
      <c r="I18" s="1">
        <f t="shared" si="1"/>
        <v>27447</v>
      </c>
      <c r="J18" s="1">
        <v>360</v>
      </c>
      <c r="K18" s="1">
        <f t="shared" si="2"/>
        <v>6984</v>
      </c>
      <c r="L18" s="1">
        <v>0</v>
      </c>
      <c r="M18" s="1">
        <f t="shared" si="3"/>
        <v>20823</v>
      </c>
      <c r="N18" s="1">
        <v>20800</v>
      </c>
      <c r="O18" s="1">
        <f t="shared" si="4"/>
        <v>-23</v>
      </c>
    </row>
    <row r="19" spans="1:17" x14ac:dyDescent="0.25">
      <c r="A19" s="2">
        <v>45918</v>
      </c>
      <c r="B19" s="1" t="s">
        <v>18</v>
      </c>
      <c r="C19" s="1">
        <v>24679</v>
      </c>
      <c r="D19" s="1">
        <v>4350</v>
      </c>
      <c r="E19" s="1">
        <v>550</v>
      </c>
      <c r="F19" s="1">
        <f t="shared" si="0"/>
        <v>19779</v>
      </c>
      <c r="G19" s="1">
        <v>6335</v>
      </c>
      <c r="H19" s="1">
        <v>570</v>
      </c>
      <c r="I19" s="1">
        <f t="shared" si="1"/>
        <v>24679</v>
      </c>
      <c r="J19" s="1">
        <v>277</v>
      </c>
      <c r="K19" s="1">
        <f t="shared" si="2"/>
        <v>6905</v>
      </c>
      <c r="L19" s="1">
        <v>0</v>
      </c>
      <c r="M19" s="1">
        <f t="shared" si="3"/>
        <v>18051</v>
      </c>
      <c r="N19" s="1">
        <v>17580</v>
      </c>
      <c r="O19" s="1">
        <f t="shared" si="4"/>
        <v>-471</v>
      </c>
      <c r="P19" s="1" t="s">
        <v>32</v>
      </c>
    </row>
    <row r="20" spans="1:17" x14ac:dyDescent="0.25">
      <c r="A20" s="2">
        <v>45919</v>
      </c>
      <c r="B20" s="1" t="s">
        <v>19</v>
      </c>
      <c r="C20" s="1">
        <v>21788</v>
      </c>
      <c r="D20" s="1">
        <v>3450</v>
      </c>
      <c r="E20" s="1">
        <v>350</v>
      </c>
      <c r="F20" s="1">
        <f t="shared" si="0"/>
        <v>17988</v>
      </c>
      <c r="G20" s="1">
        <v>5269</v>
      </c>
      <c r="H20" s="1">
        <v>3770</v>
      </c>
      <c r="I20" s="1">
        <f t="shared" si="1"/>
        <v>21788</v>
      </c>
      <c r="J20" s="1">
        <v>710</v>
      </c>
      <c r="K20" s="1">
        <f t="shared" si="2"/>
        <v>9039</v>
      </c>
      <c r="L20" s="1">
        <v>0</v>
      </c>
      <c r="M20" s="1">
        <f t="shared" si="3"/>
        <v>13459</v>
      </c>
      <c r="N20" s="1">
        <v>13460</v>
      </c>
      <c r="O20" s="1">
        <f t="shared" si="4"/>
        <v>1</v>
      </c>
      <c r="P20" s="1" t="s">
        <v>33</v>
      </c>
    </row>
    <row r="21" spans="1:17" customFormat="1" x14ac:dyDescent="0.25">
      <c r="A21" s="2">
        <v>45920</v>
      </c>
      <c r="B21" t="s">
        <v>20</v>
      </c>
      <c r="C21" s="1">
        <v>29221</v>
      </c>
      <c r="D21" s="1">
        <v>4650</v>
      </c>
      <c r="E21" s="1">
        <v>534</v>
      </c>
      <c r="F21" s="1">
        <f t="shared" si="0"/>
        <v>24037</v>
      </c>
      <c r="G21" s="1">
        <v>8112</v>
      </c>
      <c r="H21" s="1">
        <v>446</v>
      </c>
      <c r="I21" s="1">
        <f t="shared" si="1"/>
        <v>29221</v>
      </c>
      <c r="J21" s="1">
        <v>549</v>
      </c>
      <c r="K21" s="1">
        <f t="shared" si="2"/>
        <v>8558</v>
      </c>
      <c r="L21" s="1">
        <v>0</v>
      </c>
      <c r="M21" s="1">
        <f t="shared" si="3"/>
        <v>21212</v>
      </c>
      <c r="N21" s="1">
        <v>20853</v>
      </c>
      <c r="O21" s="1">
        <f t="shared" si="4"/>
        <v>-359</v>
      </c>
      <c r="P21" s="1" t="s">
        <v>34</v>
      </c>
      <c r="Q21">
        <v>3</v>
      </c>
    </row>
    <row r="22" spans="1:17" s="3" customFormat="1" x14ac:dyDescent="0.25">
      <c r="A22" s="5">
        <v>45921</v>
      </c>
      <c r="B22" s="3" t="s">
        <v>21</v>
      </c>
      <c r="C22" s="3">
        <v>24338</v>
      </c>
      <c r="D22" s="3">
        <v>5250</v>
      </c>
      <c r="E22" s="3">
        <v>700</v>
      </c>
      <c r="F22" s="1">
        <f t="shared" si="0"/>
        <v>18388</v>
      </c>
      <c r="G22" s="3">
        <v>7375</v>
      </c>
      <c r="H22" s="3">
        <v>207</v>
      </c>
      <c r="I22" s="1">
        <f t="shared" si="1"/>
        <v>24338</v>
      </c>
      <c r="J22" s="3">
        <v>100</v>
      </c>
      <c r="K22" s="1">
        <f t="shared" si="2"/>
        <v>7582</v>
      </c>
      <c r="L22" s="3">
        <v>0</v>
      </c>
      <c r="M22" s="1">
        <f t="shared" si="3"/>
        <v>16856</v>
      </c>
      <c r="N22" s="3">
        <v>16948</v>
      </c>
      <c r="O22" s="3">
        <f t="shared" si="4"/>
        <v>92</v>
      </c>
      <c r="P22" s="1" t="s">
        <v>35</v>
      </c>
    </row>
    <row r="23" spans="1:17" customFormat="1" x14ac:dyDescent="0.25">
      <c r="A23" s="2">
        <v>45922</v>
      </c>
      <c r="B23" s="1" t="s">
        <v>22</v>
      </c>
      <c r="C23" s="1">
        <v>29266</v>
      </c>
      <c r="D23" s="1">
        <v>6350</v>
      </c>
      <c r="E23" s="1">
        <v>800</v>
      </c>
      <c r="F23" s="1">
        <f t="shared" si="0"/>
        <v>22116</v>
      </c>
      <c r="G23" s="1">
        <v>9247</v>
      </c>
      <c r="H23" s="1">
        <v>183</v>
      </c>
      <c r="I23" s="1">
        <f t="shared" si="1"/>
        <v>29266</v>
      </c>
      <c r="J23" s="1">
        <v>0</v>
      </c>
      <c r="K23" s="1">
        <f t="shared" si="2"/>
        <v>9430</v>
      </c>
      <c r="L23" s="1">
        <v>0</v>
      </c>
      <c r="M23" s="1">
        <f t="shared" si="3"/>
        <v>19836</v>
      </c>
      <c r="N23" s="1">
        <v>19870</v>
      </c>
      <c r="O23" s="1">
        <f t="shared" si="4"/>
        <v>34</v>
      </c>
    </row>
    <row r="24" spans="1:17" x14ac:dyDescent="0.25">
      <c r="A24" s="2">
        <v>45923</v>
      </c>
      <c r="B24" s="1" t="s">
        <v>16</v>
      </c>
      <c r="C24" s="1">
        <v>22555</v>
      </c>
      <c r="D24" s="1">
        <v>5400</v>
      </c>
      <c r="E24" s="1">
        <v>400</v>
      </c>
      <c r="F24" s="1">
        <f t="shared" si="0"/>
        <v>16755</v>
      </c>
      <c r="G24" s="1">
        <v>3571</v>
      </c>
      <c r="H24" s="1">
        <v>610</v>
      </c>
      <c r="I24" s="1">
        <f t="shared" si="1"/>
        <v>22555</v>
      </c>
      <c r="J24" s="1">
        <v>685</v>
      </c>
      <c r="K24" s="1">
        <f t="shared" si="2"/>
        <v>4181</v>
      </c>
      <c r="L24" s="1">
        <v>81</v>
      </c>
      <c r="M24" s="1">
        <f t="shared" si="3"/>
        <v>18978</v>
      </c>
      <c r="N24" s="1">
        <v>18770</v>
      </c>
      <c r="O24" s="1">
        <f t="shared" si="4"/>
        <v>-208</v>
      </c>
      <c r="P24" s="1" t="s">
        <v>36</v>
      </c>
    </row>
    <row r="25" spans="1:17" x14ac:dyDescent="0.25">
      <c r="A25" s="2">
        <v>45924</v>
      </c>
      <c r="B25" s="1" t="s">
        <v>17</v>
      </c>
      <c r="C25" s="1">
        <v>34289</v>
      </c>
      <c r="D25" s="1">
        <v>7650</v>
      </c>
      <c r="E25" s="1">
        <v>500</v>
      </c>
      <c r="F25" s="1">
        <f t="shared" si="0"/>
        <v>26139</v>
      </c>
      <c r="G25" s="1">
        <v>8577</v>
      </c>
      <c r="H25" s="1">
        <v>255</v>
      </c>
      <c r="I25" s="1">
        <f t="shared" si="1"/>
        <v>34289</v>
      </c>
      <c r="J25" s="1">
        <v>30</v>
      </c>
      <c r="K25" s="1">
        <f t="shared" si="2"/>
        <v>8832</v>
      </c>
      <c r="L25" s="1">
        <v>0</v>
      </c>
      <c r="M25" s="1">
        <f t="shared" si="3"/>
        <v>25487</v>
      </c>
      <c r="N25" s="1">
        <v>25115</v>
      </c>
      <c r="O25" s="1">
        <f t="shared" si="4"/>
        <v>-372</v>
      </c>
      <c r="P25" s="1" t="s">
        <v>37</v>
      </c>
    </row>
    <row r="26" spans="1:17" x14ac:dyDescent="0.25">
      <c r="A26" s="2">
        <v>45925</v>
      </c>
      <c r="B26" s="1" t="s">
        <v>18</v>
      </c>
      <c r="C26" s="1">
        <v>25594</v>
      </c>
      <c r="D26" s="1">
        <v>4200</v>
      </c>
      <c r="E26" s="1">
        <v>250</v>
      </c>
      <c r="F26" s="1">
        <f t="shared" si="0"/>
        <v>21144</v>
      </c>
      <c r="G26" s="1">
        <v>10965</v>
      </c>
      <c r="H26" s="1">
        <v>145</v>
      </c>
      <c r="I26" s="1">
        <f t="shared" si="1"/>
        <v>25594</v>
      </c>
      <c r="J26" s="1">
        <v>550</v>
      </c>
      <c r="K26" s="1">
        <f t="shared" si="2"/>
        <v>11110</v>
      </c>
      <c r="L26" s="1">
        <v>0</v>
      </c>
      <c r="M26" s="1">
        <f t="shared" si="3"/>
        <v>15034</v>
      </c>
      <c r="N26" s="1">
        <v>15040</v>
      </c>
      <c r="O26" s="1">
        <f t="shared" si="4"/>
        <v>6</v>
      </c>
    </row>
    <row r="27" spans="1:17" x14ac:dyDescent="0.25">
      <c r="A27" s="2">
        <v>45926</v>
      </c>
      <c r="B27" s="1" t="s">
        <v>19</v>
      </c>
      <c r="C27" s="1">
        <v>39047</v>
      </c>
      <c r="D27" s="1">
        <v>7100</v>
      </c>
      <c r="E27" s="1">
        <v>600</v>
      </c>
      <c r="F27" s="1">
        <f t="shared" si="0"/>
        <v>31347</v>
      </c>
      <c r="G27" s="1">
        <v>15321</v>
      </c>
      <c r="H27" s="1">
        <v>115</v>
      </c>
      <c r="I27" s="1">
        <f t="shared" si="1"/>
        <v>39047</v>
      </c>
      <c r="J27" s="1">
        <v>230</v>
      </c>
      <c r="K27" s="1">
        <f t="shared" si="2"/>
        <v>15436</v>
      </c>
      <c r="L27" s="1">
        <v>0</v>
      </c>
      <c r="M27" s="1">
        <f t="shared" si="3"/>
        <v>23841</v>
      </c>
      <c r="N27" s="1">
        <v>23843</v>
      </c>
      <c r="O27" s="1">
        <f t="shared" si="4"/>
        <v>2</v>
      </c>
    </row>
    <row r="28" spans="1:17" customFormat="1" x14ac:dyDescent="0.25">
      <c r="A28" s="2">
        <v>45927</v>
      </c>
      <c r="B28" t="s">
        <v>20</v>
      </c>
      <c r="C28" s="1">
        <v>31361</v>
      </c>
      <c r="D28" s="1">
        <v>4850</v>
      </c>
      <c r="E28" s="1">
        <v>550</v>
      </c>
      <c r="F28" s="1">
        <f t="shared" si="0"/>
        <v>25961</v>
      </c>
      <c r="G28" s="1">
        <v>6917</v>
      </c>
      <c r="H28" s="1">
        <v>219</v>
      </c>
      <c r="I28" s="1">
        <f t="shared" si="1"/>
        <v>31361</v>
      </c>
      <c r="J28" s="1">
        <v>180</v>
      </c>
      <c r="K28" s="1">
        <f t="shared" si="2"/>
        <v>7136</v>
      </c>
      <c r="L28" s="1">
        <v>0</v>
      </c>
      <c r="M28" s="1">
        <f t="shared" si="3"/>
        <v>24405</v>
      </c>
      <c r="N28" s="1">
        <v>23019</v>
      </c>
      <c r="O28" s="1">
        <f t="shared" si="4"/>
        <v>-1386</v>
      </c>
      <c r="P28" s="1" t="s">
        <v>38</v>
      </c>
      <c r="Q28" t="s">
        <v>39</v>
      </c>
    </row>
    <row r="29" spans="1:17" s="3" customFormat="1" x14ac:dyDescent="0.25">
      <c r="A29" s="5">
        <v>45928</v>
      </c>
      <c r="B29" s="3" t="s">
        <v>21</v>
      </c>
      <c r="C29" s="3">
        <v>22359</v>
      </c>
      <c r="D29" s="3">
        <v>5150</v>
      </c>
      <c r="E29" s="3">
        <v>950</v>
      </c>
      <c r="F29" s="1">
        <f t="shared" si="0"/>
        <v>16259</v>
      </c>
      <c r="G29" s="3">
        <v>5830</v>
      </c>
      <c r="H29" s="3">
        <v>160</v>
      </c>
      <c r="I29" s="1">
        <f t="shared" si="1"/>
        <v>22359</v>
      </c>
      <c r="J29" s="3">
        <v>205</v>
      </c>
      <c r="K29" s="1">
        <f t="shared" si="2"/>
        <v>5990</v>
      </c>
      <c r="L29" s="3">
        <v>107</v>
      </c>
      <c r="M29" s="1">
        <f t="shared" si="3"/>
        <v>16467</v>
      </c>
      <c r="N29" s="3">
        <v>15670</v>
      </c>
      <c r="O29" s="3">
        <f t="shared" si="4"/>
        <v>-797</v>
      </c>
      <c r="P29" s="3" t="s">
        <v>40</v>
      </c>
    </row>
    <row r="30" spans="1:17" customFormat="1" x14ac:dyDescent="0.25">
      <c r="A30" s="2">
        <v>45929</v>
      </c>
      <c r="B30" s="1" t="s">
        <v>22</v>
      </c>
      <c r="C30" s="1">
        <v>30444</v>
      </c>
      <c r="D30" s="1">
        <v>7200</v>
      </c>
      <c r="E30" s="1">
        <v>500</v>
      </c>
      <c r="F30" s="1">
        <f t="shared" si="0"/>
        <v>22744</v>
      </c>
      <c r="G30" s="1">
        <v>6486</v>
      </c>
      <c r="H30" s="1">
        <v>270</v>
      </c>
      <c r="I30" s="1">
        <f t="shared" si="1"/>
        <v>30444</v>
      </c>
      <c r="J30" s="1">
        <v>50</v>
      </c>
      <c r="K30" s="1">
        <f t="shared" si="2"/>
        <v>6756</v>
      </c>
      <c r="L30" s="1">
        <v>0</v>
      </c>
      <c r="M30" s="1">
        <f t="shared" si="3"/>
        <v>23738</v>
      </c>
      <c r="N30" s="1">
        <v>23565</v>
      </c>
      <c r="O30" s="1">
        <f t="shared" si="4"/>
        <v>-173</v>
      </c>
      <c r="P30" s="1" t="s">
        <v>41</v>
      </c>
    </row>
    <row r="31" spans="1:17" customFormat="1" x14ac:dyDescent="0.25">
      <c r="A31" s="2">
        <v>45930</v>
      </c>
      <c r="B31" s="1" t="s">
        <v>16</v>
      </c>
      <c r="C31" s="1">
        <v>30240</v>
      </c>
      <c r="D31" s="1">
        <v>6450</v>
      </c>
      <c r="E31" s="1">
        <v>250</v>
      </c>
      <c r="F31" s="1">
        <f t="shared" si="0"/>
        <v>23540</v>
      </c>
      <c r="G31" s="1">
        <v>7718</v>
      </c>
      <c r="H31" s="1">
        <v>340</v>
      </c>
      <c r="I31" s="1">
        <f t="shared" si="1"/>
        <v>30240</v>
      </c>
      <c r="J31" s="1">
        <v>240</v>
      </c>
      <c r="K31" s="1">
        <f t="shared" si="2"/>
        <v>8058</v>
      </c>
      <c r="L31" s="1">
        <v>0</v>
      </c>
      <c r="M31" s="1">
        <f t="shared" si="3"/>
        <v>22422</v>
      </c>
      <c r="N31" s="1">
        <v>22429</v>
      </c>
      <c r="O31" s="1">
        <f t="shared" si="4"/>
        <v>7</v>
      </c>
    </row>
    <row r="36" spans="1:17" x14ac:dyDescent="0.25">
      <c r="A36" s="2" t="s">
        <v>42</v>
      </c>
      <c r="C36" s="1">
        <f>SUM(C2:C34)</f>
        <v>765731</v>
      </c>
      <c r="D36" s="1">
        <f>SUM(D2:D34)</f>
        <v>145750</v>
      </c>
      <c r="E36" s="1">
        <f>SUM(E2:E33)</f>
        <v>13761</v>
      </c>
      <c r="F36" s="1">
        <f>SUM(F2:F33)</f>
        <v>606220</v>
      </c>
      <c r="G36" s="1">
        <f>SUM(G2:G34)</f>
        <v>189593</v>
      </c>
      <c r="H36" s="1">
        <f>SUM(H2:H34)</f>
        <v>18480</v>
      </c>
      <c r="I36" s="1">
        <f>SUM(I2:I33)</f>
        <v>765731</v>
      </c>
      <c r="J36" s="1">
        <f t="shared" ref="J36:O36" si="5">SUM(J2:J34)</f>
        <v>6653</v>
      </c>
      <c r="K36" s="1">
        <f t="shared" si="5"/>
        <v>208073</v>
      </c>
      <c r="L36" s="1">
        <f t="shared" si="5"/>
        <v>596</v>
      </c>
      <c r="M36" s="1">
        <f t="shared" si="5"/>
        <v>563715</v>
      </c>
      <c r="N36" s="1">
        <f t="shared" si="5"/>
        <v>551480</v>
      </c>
      <c r="O36" s="1">
        <f t="shared" si="5"/>
        <v>-12235</v>
      </c>
      <c r="Q36" s="1">
        <f>SUM(Q2:Q30)</f>
        <v>102</v>
      </c>
    </row>
    <row r="37" spans="1:17" x14ac:dyDescent="0.25">
      <c r="A3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2025-12-16T15:37:20Z</dcterms:modified>
</cp:coreProperties>
</file>