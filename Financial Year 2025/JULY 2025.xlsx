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:\MONTHY DATE WISE ACCOUNT\COMPLETE MONTHWISE ACCOUNT\"/>
    </mc:Choice>
  </mc:AlternateContent>
  <xr:revisionPtr revIDLastSave="0" documentId="13_ncr:1_{1EE22AF9-4284-4278-A8D2-0B367623D1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M32" i="1"/>
  <c r="K32" i="1"/>
  <c r="F32" i="1"/>
  <c r="I32" i="1" s="1"/>
  <c r="O29" i="1"/>
  <c r="O31" i="1"/>
  <c r="M31" i="1"/>
  <c r="K31" i="1"/>
  <c r="F31" i="1"/>
  <c r="I31" i="1" s="1"/>
  <c r="O30" i="1"/>
  <c r="M30" i="1"/>
  <c r="K30" i="1"/>
  <c r="F30" i="1"/>
  <c r="I30" i="1" s="1"/>
  <c r="M29" i="1"/>
  <c r="K29" i="1"/>
  <c r="F29" i="1"/>
  <c r="I29" i="1" s="1"/>
  <c r="F28" i="1"/>
  <c r="I28" i="1" s="1"/>
  <c r="M28" i="1" s="1"/>
  <c r="O28" i="1" s="1"/>
  <c r="F27" i="1"/>
  <c r="F26" i="1"/>
  <c r="F25" i="1"/>
  <c r="F24" i="1"/>
  <c r="I24" i="1" s="1"/>
  <c r="F23" i="1"/>
  <c r="F22" i="1"/>
  <c r="I22" i="1" s="1"/>
  <c r="F21" i="1"/>
  <c r="I21" i="1" s="1"/>
  <c r="F20" i="1"/>
  <c r="O7" i="1"/>
  <c r="F19" i="1"/>
  <c r="F18" i="1"/>
  <c r="F17" i="1"/>
  <c r="I17" i="1" s="1"/>
  <c r="F16" i="1"/>
  <c r="I16" i="1" s="1"/>
  <c r="F15" i="1"/>
  <c r="I15" i="1" s="1"/>
  <c r="F14" i="1"/>
  <c r="F13" i="1"/>
  <c r="F12" i="1"/>
  <c r="I11" i="1"/>
  <c r="M10" i="1"/>
  <c r="F11" i="1"/>
  <c r="F10" i="1"/>
  <c r="I10" i="1" s="1"/>
  <c r="F9" i="1"/>
  <c r="I9" i="1"/>
  <c r="F8" i="1"/>
  <c r="I8" i="1" s="1"/>
  <c r="M8" i="1" s="1"/>
  <c r="O8" i="1" s="1"/>
  <c r="K6" i="1"/>
  <c r="F7" i="1"/>
  <c r="I7" i="1" s="1"/>
  <c r="M7" i="1" s="1"/>
  <c r="F6" i="1"/>
  <c r="M5" i="1"/>
  <c r="I5" i="1"/>
  <c r="O5" i="1" s="1"/>
  <c r="M4" i="1"/>
  <c r="M3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M23" i="1" s="1"/>
  <c r="O23" i="1" s="1"/>
  <c r="K24" i="1"/>
  <c r="K25" i="1"/>
  <c r="K26" i="1"/>
  <c r="K27" i="1"/>
  <c r="K28" i="1"/>
  <c r="I6" i="1"/>
  <c r="I12" i="1"/>
  <c r="I13" i="1"/>
  <c r="I14" i="1"/>
  <c r="I18" i="1"/>
  <c r="M18" i="1" s="1"/>
  <c r="O18" i="1" s="1"/>
  <c r="I19" i="1"/>
  <c r="I20" i="1"/>
  <c r="I23" i="1"/>
  <c r="I25" i="1"/>
  <c r="I26" i="1"/>
  <c r="I27" i="1"/>
  <c r="M27" i="1" s="1"/>
  <c r="O27" i="1" s="1"/>
  <c r="F5" i="1"/>
  <c r="F4" i="1"/>
  <c r="I4" i="1" s="1"/>
  <c r="K4" i="1"/>
  <c r="K3" i="1"/>
  <c r="F3" i="1"/>
  <c r="I3" i="1" s="1"/>
  <c r="K2" i="1"/>
  <c r="M2" i="1" s="1"/>
  <c r="F2" i="1"/>
  <c r="I2" i="1" s="1"/>
  <c r="M26" i="1" l="1"/>
  <c r="O26" i="1" s="1"/>
  <c r="M25" i="1"/>
  <c r="O25" i="1" s="1"/>
  <c r="M24" i="1"/>
  <c r="O24" i="1" s="1"/>
  <c r="M22" i="1"/>
  <c r="O22" i="1" s="1"/>
  <c r="M21" i="1"/>
  <c r="O21" i="1" s="1"/>
  <c r="M20" i="1"/>
  <c r="O20" i="1" s="1"/>
  <c r="M19" i="1"/>
  <c r="O19" i="1" s="1"/>
  <c r="M17" i="1"/>
  <c r="O17" i="1" s="1"/>
  <c r="M16" i="1"/>
  <c r="O16" i="1" s="1"/>
  <c r="M15" i="1"/>
  <c r="O15" i="1" s="1"/>
  <c r="M14" i="1"/>
  <c r="O14" i="1" s="1"/>
  <c r="M13" i="1"/>
  <c r="O13" i="1" s="1"/>
  <c r="M12" i="1"/>
  <c r="O12" i="1" s="1"/>
  <c r="M11" i="1"/>
  <c r="O11" i="1" s="1"/>
  <c r="O10" i="1"/>
  <c r="M9" i="1"/>
  <c r="O9" i="1" s="1"/>
  <c r="M6" i="1"/>
  <c r="O6" i="1" s="1"/>
  <c r="O4" i="1"/>
  <c r="O3" i="1"/>
  <c r="O2" i="1"/>
</calcChain>
</file>

<file path=xl/sharedStrings.xml><?xml version="1.0" encoding="utf-8"?>
<sst xmlns="http://schemas.openxmlformats.org/spreadsheetml/2006/main" count="74" uniqueCount="50">
  <si>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</si>
  <si>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</si>
  <si>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</si>
  <si>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</si>
  <si>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</si>
  <si>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</si>
  <si>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</si>
  <si>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</si>
  <si>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</si>
  <si>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</si>
  <si>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</si>
  <si>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</si>
  <si>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</si>
  <si>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</si>
  <si>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Extra</t>
  </si>
  <si>
    <t>EXTRA CHARGE</t>
  </si>
  <si>
    <t>KARTHI 870,14 EXCESS</t>
  </si>
  <si>
    <t>60 nargis</t>
  </si>
  <si>
    <t>manikandan-300</t>
  </si>
  <si>
    <t>135 excess</t>
  </si>
  <si>
    <t>TUESDAY</t>
  </si>
  <si>
    <t>WEDNESDAY</t>
  </si>
  <si>
    <t>THURSDAY</t>
  </si>
  <si>
    <t>FRIDAY</t>
  </si>
  <si>
    <t>SATURDAY</t>
  </si>
  <si>
    <t>SUNDAY</t>
  </si>
  <si>
    <t>MONDAY</t>
  </si>
  <si>
    <t>RETURN</t>
  </si>
  <si>
    <t>82 deficit</t>
  </si>
  <si>
    <t>13 deficit</t>
  </si>
  <si>
    <t>manikandan438</t>
  </si>
  <si>
    <t>150 vasha thatha</t>
  </si>
  <si>
    <t>ajith 246</t>
  </si>
  <si>
    <t>150 jayanthi extra</t>
  </si>
  <si>
    <t>devid raj-14,manikandan-90</t>
  </si>
  <si>
    <t>adisayam aanal unmai!!!</t>
  </si>
  <si>
    <t>11 due</t>
  </si>
  <si>
    <t>39 excess</t>
  </si>
  <si>
    <t>manikandan varsha 333</t>
  </si>
  <si>
    <t>shanthi 18</t>
  </si>
  <si>
    <t>GOVINDHA GOVINDHA FOR VARSHA</t>
  </si>
  <si>
    <t xml:space="preserve">217 VARSHA </t>
  </si>
  <si>
    <t>734-manikandan 92,aashika iv</t>
  </si>
  <si>
    <t>SHANTHI-5,1 deficit</t>
  </si>
  <si>
    <t>38 bhuvana ,6 deficit</t>
  </si>
  <si>
    <t xml:space="preserve">215 varsha </t>
  </si>
  <si>
    <t>due-1818</t>
  </si>
  <si>
    <t>NEGLIGENCE</t>
  </si>
  <si>
    <t>govi 947,kamal-120,arivu-441,buvi-95</t>
  </si>
  <si>
    <t>38 buvi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</si>
</sst>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C339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2" fillId="2" borderId="0" xfId="1" applyNumberFormat="1" applyAlignment="1">
      <alignment horizontal="center"/>
    </xf>
    <xf numFmtId="0" fontId="2" fillId="2" borderId="0" xfId="1" applyAlignment="1">
      <alignment horizontal="center"/>
    </xf>
    <xf numFmtId="0" fontId="3" fillId="3" borderId="1" xfId="2" applyAlignment="1">
      <alignment horizontal="center"/>
    </xf>
    <xf numFmtId="0" fontId="4" fillId="2" borderId="0" xfId="1" applyFont="1" applyAlignment="1">
      <alignment horizontal="center"/>
    </xf>
    <xf numFmtId="0" fontId="5" fillId="0" borderId="0" xfId="0" applyFont="1"/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zoomScale="80" zoomScaleNormal="80" workbookViewId="0">
      <selection activeCell="Q30" sqref="Q30"/>
    </sheetView>
  </sheetViews>
  <sheetFormatPr defaultRowHeight="15" x14ac:dyDescent="0.25"/>
  <cols>
    <col min="1" max="1" width="12.5703125" style="1" bestFit="1" customWidth="1"/>
    <col min="2" max="2" width="19.85546875" style="1" customWidth="1"/>
    <col min="3" max="3" width="33.85546875" style="1" bestFit="1" customWidth="1"/>
    <col min="4" max="4" width="18.42578125" style="1" bestFit="1" customWidth="1"/>
    <col min="5" max="5" width="10.28515625" style="1" bestFit="1" customWidth="1"/>
    <col min="6" max="6" width="21.7109375" style="1" bestFit="1" customWidth="1"/>
    <col min="7" max="7" width="5.7109375" style="1" bestFit="1" customWidth="1"/>
    <col min="8" max="8" width="8.7109375" style="1" bestFit="1" customWidth="1"/>
    <col min="9" max="9" width="9.28515625" style="1" customWidth="1"/>
    <col min="10" max="10" width="18.42578125" style="1" customWidth="1"/>
    <col min="11" max="11" width="15.85546875" style="1" bestFit="1" customWidth="1"/>
    <col min="12" max="12" width="18.42578125" style="1" customWidth="1"/>
    <col min="13" max="13" width="11.7109375" style="1" bestFit="1" customWidth="1"/>
    <col min="14" max="14" width="18" style="1" bestFit="1" customWidth="1"/>
    <col min="15" max="15" width="15.28515625" style="1" bestFit="1" customWidth="1"/>
    <col min="16" max="16" width="47.85546875" style="1" customWidth="1"/>
    <col min="17" max="17" width="40.28515625" style="1" bestFit="1" customWidth="1"/>
    <col min="18" max="16384" width="9.140625" style="1"/>
  </cols>
  <sheetData>
    <row r="1" spans="1:17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15</v>
      </c>
      <c r="K1" s="5" t="s">
        <v>9</v>
      </c>
      <c r="L1" s="5" t="s">
        <v>27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</row>
    <row r="2" spans="1:17" x14ac:dyDescent="0.25">
      <c r="A2" s="2">
        <v>46204</v>
      </c>
      <c r="B2" s="1" t="s">
        <v>20</v>
      </c>
      <c r="C2" s="1">
        <v>18656</v>
      </c>
      <c r="D2" s="1">
        <v>3600</v>
      </c>
      <c r="E2" s="1">
        <v>0</v>
      </c>
      <c r="F2" s="1">
        <f t="shared" ref="F2:F8" si="0">SUM(C2-D2-E2)</f>
        <v>15056</v>
      </c>
      <c r="G2" s="1">
        <v>1836</v>
      </c>
      <c r="H2" s="1">
        <v>200</v>
      </c>
      <c r="I2" s="1">
        <f>SUM(D2,E2,F2)</f>
        <v>18656</v>
      </c>
      <c r="J2" s="1">
        <v>36</v>
      </c>
      <c r="K2" s="1">
        <f>SUM(G2,H2)</f>
        <v>2036</v>
      </c>
      <c r="L2" s="1">
        <v>0</v>
      </c>
      <c r="M2" s="1">
        <f>SUM(I2,J2-K2-L2)</f>
        <v>16656</v>
      </c>
      <c r="N2" s="1">
        <v>15800</v>
      </c>
      <c r="O2" s="1">
        <f>SUM(N2-M2)</f>
        <v>-856</v>
      </c>
      <c r="P2" s="1" t="s">
        <v>16</v>
      </c>
    </row>
    <row r="3" spans="1:17" x14ac:dyDescent="0.25">
      <c r="A3" s="2">
        <v>46205</v>
      </c>
      <c r="B3" s="1" t="s">
        <v>21</v>
      </c>
      <c r="C3" s="1">
        <v>15727</v>
      </c>
      <c r="D3" s="1">
        <v>2400</v>
      </c>
      <c r="E3" s="1">
        <v>0</v>
      </c>
      <c r="F3" s="1">
        <f t="shared" si="0"/>
        <v>13327</v>
      </c>
      <c r="G3" s="1">
        <v>3708</v>
      </c>
      <c r="H3" s="1">
        <v>105</v>
      </c>
      <c r="I3" s="1">
        <f>SUM(D3,E3,F3)</f>
        <v>15727</v>
      </c>
      <c r="J3" s="1">
        <v>36</v>
      </c>
      <c r="K3" s="1">
        <f>SUM(G3,H3)</f>
        <v>3813</v>
      </c>
      <c r="L3" s="1">
        <v>0</v>
      </c>
      <c r="M3" s="1">
        <f t="shared" ref="M3" si="1">SUM(I3,J3-K3-L3)</f>
        <v>11950</v>
      </c>
      <c r="N3" s="1">
        <v>12110</v>
      </c>
      <c r="O3" s="1">
        <f>SUM(N3-M3)</f>
        <v>160</v>
      </c>
      <c r="P3" s="1" t="s">
        <v>17</v>
      </c>
    </row>
    <row r="4" spans="1:17" x14ac:dyDescent="0.25">
      <c r="A4" s="2">
        <v>46206</v>
      </c>
      <c r="B4" s="1" t="s">
        <v>22</v>
      </c>
      <c r="C4" s="1">
        <v>27584</v>
      </c>
      <c r="D4" s="1">
        <v>2250</v>
      </c>
      <c r="E4" s="1">
        <v>0</v>
      </c>
      <c r="F4" s="1">
        <f t="shared" si="0"/>
        <v>25334</v>
      </c>
      <c r="G4" s="1">
        <v>3509</v>
      </c>
      <c r="H4" s="1">
        <v>670</v>
      </c>
      <c r="I4" s="1">
        <f>SUM(D4,E4,F4)</f>
        <v>27584</v>
      </c>
      <c r="J4" s="1">
        <v>60</v>
      </c>
      <c r="K4" s="1">
        <f>SUM(G4,H4)</f>
        <v>4179</v>
      </c>
      <c r="L4" s="1">
        <v>0</v>
      </c>
      <c r="M4" s="1">
        <f>SUM(I4,J4-K4-L4)</f>
        <v>23465</v>
      </c>
      <c r="N4" s="1">
        <v>23280</v>
      </c>
      <c r="O4" s="1">
        <f t="shared" ref="O4:O32" si="2">SUM(N4-M4)</f>
        <v>-185</v>
      </c>
      <c r="P4" s="1" t="s">
        <v>18</v>
      </c>
      <c r="Q4" s="1" t="s">
        <v>19</v>
      </c>
    </row>
    <row r="5" spans="1:17" x14ac:dyDescent="0.25">
      <c r="A5" s="2">
        <v>46207</v>
      </c>
      <c r="B5" s="1" t="s">
        <v>23</v>
      </c>
      <c r="C5" s="1">
        <v>18734</v>
      </c>
      <c r="D5" s="1">
        <v>1950</v>
      </c>
      <c r="E5" s="1">
        <v>0</v>
      </c>
      <c r="F5" s="1">
        <f t="shared" si="0"/>
        <v>16784</v>
      </c>
      <c r="G5" s="1">
        <v>4307</v>
      </c>
      <c r="H5" s="1">
        <v>912</v>
      </c>
      <c r="I5" s="1">
        <f>SUM(D5,E5,F5)</f>
        <v>18734</v>
      </c>
      <c r="J5" s="1">
        <v>300</v>
      </c>
      <c r="K5" s="1">
        <f t="shared" ref="K5:K32" si="3">SUM(G5,H5)</f>
        <v>5219</v>
      </c>
      <c r="L5" s="1">
        <v>92</v>
      </c>
      <c r="M5" s="1">
        <f>SUM(I5,J5-K5-L5)</f>
        <v>13723</v>
      </c>
      <c r="N5" s="1">
        <v>13560</v>
      </c>
      <c r="O5" s="1">
        <f t="shared" si="2"/>
        <v>-163</v>
      </c>
      <c r="Q5" s="1" t="s">
        <v>29</v>
      </c>
    </row>
    <row r="6" spans="1:17" x14ac:dyDescent="0.25">
      <c r="A6" s="2">
        <v>46208</v>
      </c>
      <c r="B6" s="1" t="s">
        <v>24</v>
      </c>
      <c r="C6" s="1">
        <v>23585</v>
      </c>
      <c r="D6" s="1">
        <v>2250</v>
      </c>
      <c r="E6" s="1">
        <v>0</v>
      </c>
      <c r="F6" s="1">
        <f t="shared" si="0"/>
        <v>21335</v>
      </c>
      <c r="G6" s="1">
        <v>6544</v>
      </c>
      <c r="H6" s="1">
        <v>200</v>
      </c>
      <c r="I6" s="1">
        <f t="shared" ref="I6:I32" si="4">SUM(D6,E6,F6)</f>
        <v>23585</v>
      </c>
      <c r="J6" s="1">
        <v>0</v>
      </c>
      <c r="K6" s="1">
        <f>SUM(G6,H6)</f>
        <v>6744</v>
      </c>
      <c r="L6" s="1">
        <v>0</v>
      </c>
      <c r="M6" s="1">
        <f t="shared" ref="M6:M32" si="5">SUM(I6,J6-K6-L6)</f>
        <v>16841</v>
      </c>
      <c r="N6" s="1">
        <v>16513</v>
      </c>
      <c r="O6" s="1">
        <f t="shared" si="2"/>
        <v>-328</v>
      </c>
      <c r="P6" s="1" t="s">
        <v>32</v>
      </c>
      <c r="Q6" s="1" t="s">
        <v>28</v>
      </c>
    </row>
    <row r="7" spans="1:17" s="4" customFormat="1" x14ac:dyDescent="0.25">
      <c r="A7" s="3">
        <v>46209</v>
      </c>
      <c r="B7" s="4" t="s">
        <v>25</v>
      </c>
      <c r="C7" s="4">
        <v>7528</v>
      </c>
      <c r="D7" s="4">
        <v>1500</v>
      </c>
      <c r="E7" s="4">
        <v>0</v>
      </c>
      <c r="F7" s="4">
        <f t="shared" si="0"/>
        <v>6028</v>
      </c>
      <c r="G7" s="4">
        <v>1687</v>
      </c>
      <c r="H7" s="4">
        <v>0</v>
      </c>
      <c r="I7" s="4">
        <f t="shared" si="4"/>
        <v>7528</v>
      </c>
      <c r="J7" s="4">
        <v>0</v>
      </c>
      <c r="K7" s="4">
        <f t="shared" si="3"/>
        <v>1687</v>
      </c>
      <c r="L7" s="4">
        <v>0</v>
      </c>
      <c r="M7" s="1">
        <f t="shared" si="5"/>
        <v>5841</v>
      </c>
      <c r="N7" s="4">
        <v>4580</v>
      </c>
      <c r="O7" s="4">
        <f>SUM(N7-M7)</f>
        <v>-1261</v>
      </c>
      <c r="P7" s="6" t="s">
        <v>47</v>
      </c>
    </row>
    <row r="8" spans="1:17" x14ac:dyDescent="0.25">
      <c r="A8" s="2">
        <v>46210</v>
      </c>
      <c r="B8" s="1" t="s">
        <v>26</v>
      </c>
      <c r="C8" s="1">
        <v>17932</v>
      </c>
      <c r="D8" s="1">
        <v>2850</v>
      </c>
      <c r="E8" s="1">
        <v>0</v>
      </c>
      <c r="F8" s="1">
        <f t="shared" si="0"/>
        <v>15082</v>
      </c>
      <c r="G8" s="1">
        <v>1379</v>
      </c>
      <c r="H8" s="1">
        <v>100</v>
      </c>
      <c r="I8" s="1">
        <f t="shared" si="4"/>
        <v>17932</v>
      </c>
      <c r="J8" s="1">
        <v>4</v>
      </c>
      <c r="K8" s="1">
        <f t="shared" si="3"/>
        <v>1479</v>
      </c>
      <c r="L8" s="1">
        <v>0</v>
      </c>
      <c r="M8" s="1">
        <f t="shared" si="5"/>
        <v>16457</v>
      </c>
      <c r="N8" s="1">
        <v>16020</v>
      </c>
      <c r="O8" s="1">
        <f t="shared" si="2"/>
        <v>-437</v>
      </c>
      <c r="P8" s="1" t="s">
        <v>30</v>
      </c>
    </row>
    <row r="9" spans="1:17" customFormat="1" x14ac:dyDescent="0.25">
      <c r="A9" s="2">
        <v>46211</v>
      </c>
      <c r="B9" s="1" t="s">
        <v>20</v>
      </c>
      <c r="C9" s="1">
        <v>13659</v>
      </c>
      <c r="D9" s="1">
        <v>1800</v>
      </c>
      <c r="E9" s="1">
        <v>0</v>
      </c>
      <c r="F9" s="1">
        <f t="shared" ref="F9:F32" si="6">SUM(C9-D9-E9)</f>
        <v>11859</v>
      </c>
      <c r="G9" s="1">
        <v>2512</v>
      </c>
      <c r="H9" s="1">
        <v>196</v>
      </c>
      <c r="I9" s="1">
        <f t="shared" si="4"/>
        <v>13659</v>
      </c>
      <c r="J9" s="1">
        <v>86</v>
      </c>
      <c r="K9" s="1">
        <f t="shared" si="3"/>
        <v>2708</v>
      </c>
      <c r="L9" s="1">
        <v>0</v>
      </c>
      <c r="M9" s="1">
        <f>SUM(I9,J9-K9-L9)</f>
        <v>11037</v>
      </c>
      <c r="N9" s="1">
        <v>11037</v>
      </c>
      <c r="O9" s="1">
        <f t="shared" si="2"/>
        <v>0</v>
      </c>
      <c r="P9" s="1"/>
    </row>
    <row r="10" spans="1:17" x14ac:dyDescent="0.25">
      <c r="A10" s="2">
        <v>46212</v>
      </c>
      <c r="B10" s="1" t="s">
        <v>21</v>
      </c>
      <c r="C10" s="1">
        <v>9490</v>
      </c>
      <c r="D10" s="1">
        <v>1350</v>
      </c>
      <c r="E10" s="1">
        <v>0</v>
      </c>
      <c r="F10" s="1">
        <f t="shared" si="6"/>
        <v>8140</v>
      </c>
      <c r="G10" s="1">
        <v>3623</v>
      </c>
      <c r="H10" s="1">
        <v>400</v>
      </c>
      <c r="I10" s="1">
        <f t="shared" si="4"/>
        <v>9490</v>
      </c>
      <c r="J10" s="1">
        <v>0</v>
      </c>
      <c r="K10" s="1">
        <f t="shared" si="3"/>
        <v>4023</v>
      </c>
      <c r="L10" s="1">
        <v>207</v>
      </c>
      <c r="M10" s="1">
        <f>SUM(I10,J10-K10-L10)</f>
        <v>5260</v>
      </c>
      <c r="N10" s="1">
        <v>5254</v>
      </c>
      <c r="O10" s="1">
        <f t="shared" si="2"/>
        <v>-6</v>
      </c>
    </row>
    <row r="11" spans="1:17" x14ac:dyDescent="0.25">
      <c r="A11" s="2">
        <v>46213</v>
      </c>
      <c r="B11" s="1" t="s">
        <v>22</v>
      </c>
      <c r="C11" s="1">
        <v>14833</v>
      </c>
      <c r="D11" s="1">
        <v>2400</v>
      </c>
      <c r="E11" s="1">
        <v>0</v>
      </c>
      <c r="F11" s="1">
        <f t="shared" si="6"/>
        <v>12433</v>
      </c>
      <c r="G11" s="1">
        <v>2153</v>
      </c>
      <c r="H11" s="1">
        <v>90</v>
      </c>
      <c r="I11" s="1">
        <f>SUM(D11,E11,F11)</f>
        <v>14833</v>
      </c>
      <c r="J11" s="1">
        <v>0</v>
      </c>
      <c r="K11" s="1">
        <f t="shared" si="3"/>
        <v>2243</v>
      </c>
      <c r="L11" s="1">
        <v>0</v>
      </c>
      <c r="M11" s="1">
        <f t="shared" si="5"/>
        <v>12590</v>
      </c>
      <c r="N11" s="1">
        <v>12590</v>
      </c>
      <c r="O11" s="1">
        <f t="shared" si="2"/>
        <v>0</v>
      </c>
      <c r="P11" s="1" t="s">
        <v>31</v>
      </c>
    </row>
    <row r="12" spans="1:17" x14ac:dyDescent="0.25">
      <c r="A12" s="2">
        <v>46214</v>
      </c>
      <c r="B12" s="1" t="s">
        <v>23</v>
      </c>
      <c r="C12" s="1">
        <v>14291</v>
      </c>
      <c r="D12" s="1">
        <v>2500</v>
      </c>
      <c r="E12" s="1">
        <v>0</v>
      </c>
      <c r="F12" s="1">
        <f t="shared" si="6"/>
        <v>11791</v>
      </c>
      <c r="G12" s="1">
        <v>3416</v>
      </c>
      <c r="H12" s="1">
        <v>120</v>
      </c>
      <c r="I12" s="1">
        <f t="shared" si="4"/>
        <v>14291</v>
      </c>
      <c r="J12" s="1">
        <v>248</v>
      </c>
      <c r="K12" s="1">
        <f t="shared" si="3"/>
        <v>3536</v>
      </c>
      <c r="L12" s="1">
        <v>603</v>
      </c>
      <c r="M12" s="1">
        <f t="shared" si="5"/>
        <v>10400</v>
      </c>
      <c r="N12" s="1">
        <v>10410</v>
      </c>
      <c r="O12" s="1">
        <f t="shared" si="2"/>
        <v>10</v>
      </c>
      <c r="P12" s="1" t="s">
        <v>33</v>
      </c>
    </row>
    <row r="13" spans="1:17" x14ac:dyDescent="0.25">
      <c r="A13" s="2">
        <v>46215</v>
      </c>
      <c r="B13" s="1" t="s">
        <v>24</v>
      </c>
      <c r="C13" s="1">
        <v>19486</v>
      </c>
      <c r="D13" s="1">
        <v>3000</v>
      </c>
      <c r="E13" s="1">
        <v>0</v>
      </c>
      <c r="F13" s="1">
        <f t="shared" si="6"/>
        <v>16486</v>
      </c>
      <c r="G13" s="1">
        <v>4435</v>
      </c>
      <c r="H13" s="1">
        <v>825</v>
      </c>
      <c r="I13" s="1">
        <f t="shared" si="4"/>
        <v>19486</v>
      </c>
      <c r="J13" s="1">
        <v>25</v>
      </c>
      <c r="K13" s="1">
        <f t="shared" si="3"/>
        <v>5260</v>
      </c>
      <c r="L13" s="1">
        <v>0</v>
      </c>
      <c r="M13" s="1">
        <f t="shared" si="5"/>
        <v>14251</v>
      </c>
      <c r="N13" s="1">
        <v>14234</v>
      </c>
      <c r="O13" s="1">
        <f t="shared" si="2"/>
        <v>-17</v>
      </c>
      <c r="P13" s="1" t="s">
        <v>34</v>
      </c>
    </row>
    <row r="14" spans="1:17" s="4" customFormat="1" x14ac:dyDescent="0.25">
      <c r="A14" s="3">
        <v>46216</v>
      </c>
      <c r="B14" s="4" t="s">
        <v>25</v>
      </c>
      <c r="C14" s="4">
        <v>5904</v>
      </c>
      <c r="D14" s="4">
        <v>1150</v>
      </c>
      <c r="E14" s="4">
        <v>0</v>
      </c>
      <c r="F14" s="4">
        <f t="shared" si="6"/>
        <v>4754</v>
      </c>
      <c r="G14" s="4">
        <v>1277</v>
      </c>
      <c r="H14" s="4">
        <v>14</v>
      </c>
      <c r="I14" s="4">
        <f t="shared" si="4"/>
        <v>5904</v>
      </c>
      <c r="J14" s="4">
        <v>0</v>
      </c>
      <c r="K14" s="4">
        <f t="shared" si="3"/>
        <v>1291</v>
      </c>
      <c r="L14" s="4">
        <v>0</v>
      </c>
      <c r="M14" s="1">
        <f t="shared" si="5"/>
        <v>4613</v>
      </c>
      <c r="N14" s="4">
        <v>4613</v>
      </c>
      <c r="O14" s="4">
        <f t="shared" si="2"/>
        <v>0</v>
      </c>
      <c r="P14" s="6" t="s">
        <v>35</v>
      </c>
    </row>
    <row r="15" spans="1:17" x14ac:dyDescent="0.25">
      <c r="A15" s="2">
        <v>46217</v>
      </c>
      <c r="B15" s="1" t="s">
        <v>26</v>
      </c>
      <c r="C15" s="1">
        <v>20884</v>
      </c>
      <c r="D15" s="1">
        <v>2250</v>
      </c>
      <c r="E15" s="1">
        <v>0</v>
      </c>
      <c r="F15" s="1">
        <f t="shared" si="6"/>
        <v>18634</v>
      </c>
      <c r="G15" s="1">
        <v>6186</v>
      </c>
      <c r="H15" s="1">
        <v>184</v>
      </c>
      <c r="I15" s="1">
        <f t="shared" si="4"/>
        <v>20884</v>
      </c>
      <c r="J15" s="1">
        <v>150</v>
      </c>
      <c r="K15" s="1">
        <f t="shared" si="3"/>
        <v>6370</v>
      </c>
      <c r="L15" s="1">
        <v>0</v>
      </c>
      <c r="M15" s="1">
        <f t="shared" si="5"/>
        <v>14664</v>
      </c>
      <c r="N15" s="1">
        <v>13838</v>
      </c>
      <c r="O15" s="1">
        <f t="shared" si="2"/>
        <v>-826</v>
      </c>
      <c r="P15" s="1" t="s">
        <v>42</v>
      </c>
      <c r="Q15" s="1">
        <v>0</v>
      </c>
    </row>
    <row r="16" spans="1:17" customFormat="1" x14ac:dyDescent="0.25">
      <c r="A16" s="2">
        <v>46218</v>
      </c>
      <c r="B16" s="1" t="s">
        <v>20</v>
      </c>
      <c r="C16" s="1">
        <v>17859</v>
      </c>
      <c r="D16" s="1">
        <v>3600</v>
      </c>
      <c r="E16" s="1">
        <v>0</v>
      </c>
      <c r="F16" s="1">
        <f t="shared" si="6"/>
        <v>14259</v>
      </c>
      <c r="G16" s="1">
        <v>466</v>
      </c>
      <c r="H16" s="1">
        <v>265</v>
      </c>
      <c r="I16" s="1">
        <f t="shared" si="4"/>
        <v>17859</v>
      </c>
      <c r="J16" s="1">
        <v>150</v>
      </c>
      <c r="K16" s="1">
        <f t="shared" si="3"/>
        <v>731</v>
      </c>
      <c r="L16" s="1">
        <v>0</v>
      </c>
      <c r="M16" s="1">
        <f t="shared" si="5"/>
        <v>17278</v>
      </c>
      <c r="N16" s="1">
        <v>17306</v>
      </c>
      <c r="O16" s="1">
        <f t="shared" si="2"/>
        <v>28</v>
      </c>
      <c r="P16" s="1" t="s">
        <v>36</v>
      </c>
      <c r="Q16" t="s">
        <v>37</v>
      </c>
    </row>
    <row r="17" spans="1:17" x14ac:dyDescent="0.25">
      <c r="A17" s="2">
        <v>46219</v>
      </c>
      <c r="B17" s="1" t="s">
        <v>21</v>
      </c>
      <c r="C17" s="1">
        <v>12278</v>
      </c>
      <c r="D17" s="1">
        <v>3000</v>
      </c>
      <c r="E17" s="1">
        <v>0</v>
      </c>
      <c r="F17" s="1">
        <f t="shared" si="6"/>
        <v>9278</v>
      </c>
      <c r="G17" s="1">
        <v>2465</v>
      </c>
      <c r="H17" s="1">
        <v>330</v>
      </c>
      <c r="I17" s="1">
        <f t="shared" si="4"/>
        <v>12278</v>
      </c>
      <c r="J17" s="1">
        <v>50</v>
      </c>
      <c r="K17" s="1">
        <f t="shared" si="3"/>
        <v>2795</v>
      </c>
      <c r="L17" s="1">
        <v>0</v>
      </c>
      <c r="M17" s="1">
        <f t="shared" si="5"/>
        <v>9533</v>
      </c>
      <c r="N17" s="1">
        <v>9533</v>
      </c>
      <c r="O17" s="1">
        <f t="shared" si="2"/>
        <v>0</v>
      </c>
    </row>
    <row r="18" spans="1:17" x14ac:dyDescent="0.25">
      <c r="A18" s="2">
        <v>46220</v>
      </c>
      <c r="B18" s="1" t="s">
        <v>22</v>
      </c>
      <c r="C18" s="1">
        <v>12376</v>
      </c>
      <c r="D18" s="1">
        <v>2100</v>
      </c>
      <c r="E18" s="1">
        <v>0</v>
      </c>
      <c r="F18" s="1">
        <f t="shared" si="6"/>
        <v>10276</v>
      </c>
      <c r="G18" s="1">
        <v>5363</v>
      </c>
      <c r="H18" s="1">
        <v>140</v>
      </c>
      <c r="I18" s="1">
        <f t="shared" si="4"/>
        <v>12376</v>
      </c>
      <c r="J18" s="1">
        <v>0</v>
      </c>
      <c r="K18" s="1">
        <f t="shared" si="3"/>
        <v>5503</v>
      </c>
      <c r="L18" s="1">
        <v>0</v>
      </c>
      <c r="M18" s="1">
        <f t="shared" si="5"/>
        <v>6873</v>
      </c>
      <c r="N18" s="1">
        <v>6876</v>
      </c>
      <c r="O18" s="1">
        <f t="shared" si="2"/>
        <v>3</v>
      </c>
    </row>
    <row r="19" spans="1:17" x14ac:dyDescent="0.25">
      <c r="A19" s="2">
        <v>46221</v>
      </c>
      <c r="B19" s="1" t="s">
        <v>23</v>
      </c>
      <c r="C19" s="1">
        <v>16084</v>
      </c>
      <c r="D19" s="1">
        <v>1950</v>
      </c>
      <c r="E19" s="1">
        <v>0</v>
      </c>
      <c r="F19" s="1">
        <f t="shared" si="6"/>
        <v>14134</v>
      </c>
      <c r="G19" s="1">
        <v>992</v>
      </c>
      <c r="H19" s="1">
        <v>125</v>
      </c>
      <c r="I19" s="1">
        <f t="shared" si="4"/>
        <v>16084</v>
      </c>
      <c r="J19" s="1">
        <v>0</v>
      </c>
      <c r="K19" s="1">
        <f t="shared" si="3"/>
        <v>1117</v>
      </c>
      <c r="L19" s="1">
        <v>0</v>
      </c>
      <c r="M19" s="1">
        <f t="shared" si="5"/>
        <v>14967</v>
      </c>
      <c r="N19" s="1">
        <v>14634</v>
      </c>
      <c r="O19" s="1">
        <f t="shared" si="2"/>
        <v>-333</v>
      </c>
      <c r="P19" s="1" t="s">
        <v>38</v>
      </c>
    </row>
    <row r="20" spans="1:17" x14ac:dyDescent="0.25">
      <c r="A20" s="2">
        <v>46222</v>
      </c>
      <c r="B20" s="1" t="s">
        <v>24</v>
      </c>
      <c r="C20" s="1">
        <v>22210</v>
      </c>
      <c r="D20" s="1">
        <v>3900</v>
      </c>
      <c r="E20" s="1">
        <v>0</v>
      </c>
      <c r="F20" s="1">
        <f t="shared" si="6"/>
        <v>18310</v>
      </c>
      <c r="G20" s="1">
        <v>3917</v>
      </c>
      <c r="H20" s="1">
        <v>956</v>
      </c>
      <c r="I20" s="1">
        <f t="shared" si="4"/>
        <v>22210</v>
      </c>
      <c r="J20" s="1">
        <v>500</v>
      </c>
      <c r="K20" s="1">
        <f t="shared" si="3"/>
        <v>4873</v>
      </c>
      <c r="L20" s="1">
        <v>0</v>
      </c>
      <c r="M20" s="1">
        <f t="shared" si="5"/>
        <v>17837</v>
      </c>
      <c r="N20" s="1">
        <v>17840</v>
      </c>
      <c r="O20" s="1">
        <f t="shared" si="2"/>
        <v>3</v>
      </c>
    </row>
    <row r="21" spans="1:17" s="4" customFormat="1" x14ac:dyDescent="0.25">
      <c r="A21" s="3">
        <v>46223</v>
      </c>
      <c r="B21" s="4" t="s">
        <v>25</v>
      </c>
      <c r="C21" s="4">
        <v>10695</v>
      </c>
      <c r="D21" s="4">
        <v>1800</v>
      </c>
      <c r="E21" s="4">
        <v>0</v>
      </c>
      <c r="F21" s="4">
        <f t="shared" si="6"/>
        <v>8895</v>
      </c>
      <c r="G21" s="4">
        <v>1947</v>
      </c>
      <c r="H21" s="4">
        <v>0</v>
      </c>
      <c r="I21" s="4">
        <f t="shared" si="4"/>
        <v>10695</v>
      </c>
      <c r="J21" s="4">
        <v>0</v>
      </c>
      <c r="K21" s="4">
        <f t="shared" si="3"/>
        <v>1947</v>
      </c>
      <c r="L21" s="4">
        <v>0</v>
      </c>
      <c r="M21" s="1">
        <f t="shared" si="5"/>
        <v>8748</v>
      </c>
      <c r="N21" s="4">
        <v>8750</v>
      </c>
      <c r="O21" s="4">
        <f t="shared" si="2"/>
        <v>2</v>
      </c>
    </row>
    <row r="22" spans="1:17" x14ac:dyDescent="0.25">
      <c r="A22" s="2">
        <v>46224</v>
      </c>
      <c r="B22" s="1" t="s">
        <v>26</v>
      </c>
      <c r="C22" s="1">
        <v>19458</v>
      </c>
      <c r="D22" s="1">
        <v>2400</v>
      </c>
      <c r="E22" s="1">
        <v>0</v>
      </c>
      <c r="F22" s="1">
        <f t="shared" si="6"/>
        <v>17058</v>
      </c>
      <c r="G22" s="1">
        <v>5208</v>
      </c>
      <c r="H22" s="1">
        <v>93</v>
      </c>
      <c r="I22" s="1">
        <f t="shared" si="4"/>
        <v>19458</v>
      </c>
      <c r="J22" s="1">
        <v>50</v>
      </c>
      <c r="K22" s="1">
        <f t="shared" si="3"/>
        <v>5301</v>
      </c>
      <c r="L22" s="1">
        <v>0</v>
      </c>
      <c r="M22" s="1">
        <f t="shared" si="5"/>
        <v>14207</v>
      </c>
      <c r="N22" s="1">
        <v>14190</v>
      </c>
      <c r="O22" s="1">
        <f t="shared" si="2"/>
        <v>-17</v>
      </c>
      <c r="P22" s="1" t="s">
        <v>39</v>
      </c>
    </row>
    <row r="23" spans="1:17" customFormat="1" x14ac:dyDescent="0.25">
      <c r="A23" s="2">
        <v>46225</v>
      </c>
      <c r="B23" s="1" t="s">
        <v>20</v>
      </c>
      <c r="C23" s="1">
        <v>12214</v>
      </c>
      <c r="D23" s="1">
        <v>2800</v>
      </c>
      <c r="E23" s="1">
        <v>0</v>
      </c>
      <c r="F23" s="1">
        <f t="shared" si="6"/>
        <v>9414</v>
      </c>
      <c r="G23" s="1">
        <v>1465</v>
      </c>
      <c r="H23" s="1">
        <v>404</v>
      </c>
      <c r="I23" s="1">
        <f t="shared" si="4"/>
        <v>12214</v>
      </c>
      <c r="J23" s="1">
        <v>0</v>
      </c>
      <c r="K23" s="1">
        <f t="shared" si="3"/>
        <v>1869</v>
      </c>
      <c r="L23" s="1">
        <v>0</v>
      </c>
      <c r="M23" s="1">
        <f t="shared" si="5"/>
        <v>10345</v>
      </c>
      <c r="N23" s="1">
        <v>10245</v>
      </c>
      <c r="O23" s="1">
        <f t="shared" si="2"/>
        <v>-100</v>
      </c>
      <c r="P23">
        <v>262</v>
      </c>
      <c r="Q23" s="7" t="s">
        <v>40</v>
      </c>
    </row>
    <row r="24" spans="1:17" x14ac:dyDescent="0.25">
      <c r="A24" s="2">
        <v>46226</v>
      </c>
      <c r="B24" s="1" t="s">
        <v>21</v>
      </c>
      <c r="C24" s="1">
        <v>18768</v>
      </c>
      <c r="D24" s="1">
        <v>2100</v>
      </c>
      <c r="E24" s="1">
        <v>0</v>
      </c>
      <c r="F24" s="1">
        <f t="shared" si="6"/>
        <v>16668</v>
      </c>
      <c r="G24" s="1">
        <v>5114</v>
      </c>
      <c r="H24" s="1">
        <v>285</v>
      </c>
      <c r="I24" s="1">
        <f t="shared" si="4"/>
        <v>18768</v>
      </c>
      <c r="J24" s="1">
        <v>0</v>
      </c>
      <c r="K24" s="1">
        <f t="shared" si="3"/>
        <v>5399</v>
      </c>
      <c r="L24" s="1">
        <v>0</v>
      </c>
      <c r="M24" s="1">
        <f t="shared" si="5"/>
        <v>13369</v>
      </c>
      <c r="N24" s="1">
        <v>13380</v>
      </c>
      <c r="O24" s="1">
        <f t="shared" si="2"/>
        <v>11</v>
      </c>
    </row>
    <row r="25" spans="1:17" x14ac:dyDescent="0.25">
      <c r="A25" s="2">
        <v>46227</v>
      </c>
      <c r="B25" s="1" t="s">
        <v>22</v>
      </c>
      <c r="C25" s="1">
        <v>13000</v>
      </c>
      <c r="D25" s="1">
        <v>2500</v>
      </c>
      <c r="E25" s="1">
        <v>0</v>
      </c>
      <c r="F25" s="1">
        <f t="shared" si="6"/>
        <v>10500</v>
      </c>
      <c r="G25" s="1">
        <v>2568</v>
      </c>
      <c r="H25" s="1">
        <v>90</v>
      </c>
      <c r="I25" s="1">
        <f t="shared" si="4"/>
        <v>13000</v>
      </c>
      <c r="J25" s="1">
        <v>0</v>
      </c>
      <c r="K25" s="1">
        <f t="shared" si="3"/>
        <v>2658</v>
      </c>
      <c r="L25" s="1">
        <v>0</v>
      </c>
      <c r="M25" s="1">
        <f t="shared" si="5"/>
        <v>10342</v>
      </c>
      <c r="N25" s="1">
        <v>10070</v>
      </c>
      <c r="O25" s="1">
        <f t="shared" si="2"/>
        <v>-272</v>
      </c>
      <c r="P25" s="1" t="s">
        <v>41</v>
      </c>
    </row>
    <row r="26" spans="1:17" x14ac:dyDescent="0.25">
      <c r="A26" s="2">
        <v>46228</v>
      </c>
      <c r="B26" s="1" t="s">
        <v>23</v>
      </c>
      <c r="C26" s="1">
        <v>12927</v>
      </c>
      <c r="D26" s="1">
        <v>2550</v>
      </c>
      <c r="E26" s="1">
        <v>0</v>
      </c>
      <c r="F26" s="1">
        <f t="shared" si="6"/>
        <v>10377</v>
      </c>
      <c r="G26" s="1">
        <v>3334</v>
      </c>
      <c r="H26" s="1">
        <v>590</v>
      </c>
      <c r="I26" s="1">
        <f t="shared" si="4"/>
        <v>12927</v>
      </c>
      <c r="J26" s="1">
        <v>40</v>
      </c>
      <c r="K26" s="1">
        <f t="shared" si="3"/>
        <v>3924</v>
      </c>
      <c r="L26" s="1">
        <v>0</v>
      </c>
      <c r="M26" s="1">
        <f t="shared" si="5"/>
        <v>9043</v>
      </c>
      <c r="N26" s="1">
        <v>9045</v>
      </c>
      <c r="O26" s="1">
        <f t="shared" si="2"/>
        <v>2</v>
      </c>
    </row>
    <row r="27" spans="1:17" x14ac:dyDescent="0.25">
      <c r="A27" s="2">
        <v>46229</v>
      </c>
      <c r="B27" s="1" t="s">
        <v>24</v>
      </c>
      <c r="C27" s="1">
        <v>21438</v>
      </c>
      <c r="D27" s="1">
        <v>1950</v>
      </c>
      <c r="E27" s="1">
        <v>0</v>
      </c>
      <c r="F27" s="1">
        <f t="shared" si="6"/>
        <v>19488</v>
      </c>
      <c r="G27" s="1">
        <v>3206</v>
      </c>
      <c r="H27" s="1">
        <v>85</v>
      </c>
      <c r="I27" s="1">
        <f t="shared" si="4"/>
        <v>21438</v>
      </c>
      <c r="J27" s="1">
        <v>18</v>
      </c>
      <c r="K27" s="1">
        <f t="shared" si="3"/>
        <v>3291</v>
      </c>
      <c r="L27" s="1">
        <v>482</v>
      </c>
      <c r="M27" s="1">
        <f t="shared" si="5"/>
        <v>17683</v>
      </c>
      <c r="N27" s="1">
        <v>17664</v>
      </c>
      <c r="O27" s="1">
        <f t="shared" si="2"/>
        <v>-19</v>
      </c>
      <c r="P27" s="1" t="s">
        <v>43</v>
      </c>
    </row>
    <row r="28" spans="1:17" s="4" customFormat="1" x14ac:dyDescent="0.25">
      <c r="A28" s="3">
        <v>46230</v>
      </c>
      <c r="B28" s="4" t="s">
        <v>25</v>
      </c>
      <c r="C28" s="4">
        <v>6463</v>
      </c>
      <c r="D28" s="4">
        <v>1500</v>
      </c>
      <c r="E28" s="4">
        <v>0</v>
      </c>
      <c r="F28" s="4">
        <f t="shared" si="6"/>
        <v>4963</v>
      </c>
      <c r="G28" s="4">
        <v>362</v>
      </c>
      <c r="H28" s="4">
        <v>50</v>
      </c>
      <c r="I28" s="4">
        <f t="shared" si="4"/>
        <v>6463</v>
      </c>
      <c r="J28" s="4">
        <v>50</v>
      </c>
      <c r="K28" s="4">
        <f t="shared" si="3"/>
        <v>412</v>
      </c>
      <c r="L28" s="4">
        <v>0</v>
      </c>
      <c r="M28" s="1">
        <f t="shared" si="5"/>
        <v>6101</v>
      </c>
      <c r="N28" s="4">
        <v>6110</v>
      </c>
      <c r="O28" s="1">
        <f t="shared" si="2"/>
        <v>9</v>
      </c>
    </row>
    <row r="29" spans="1:17" x14ac:dyDescent="0.25">
      <c r="A29" s="2">
        <v>46231</v>
      </c>
      <c r="B29" s="1" t="s">
        <v>26</v>
      </c>
      <c r="C29" s="1">
        <v>21222</v>
      </c>
      <c r="D29" s="1">
        <v>4050</v>
      </c>
      <c r="E29" s="1">
        <v>0</v>
      </c>
      <c r="F29" s="1">
        <f t="shared" si="6"/>
        <v>17172</v>
      </c>
      <c r="G29" s="1">
        <v>4993</v>
      </c>
      <c r="H29" s="1">
        <v>135</v>
      </c>
      <c r="I29" s="1">
        <f t="shared" si="4"/>
        <v>21222</v>
      </c>
      <c r="J29" s="1">
        <v>0</v>
      </c>
      <c r="K29" s="1">
        <f t="shared" si="3"/>
        <v>5128</v>
      </c>
      <c r="L29" s="1">
        <v>0</v>
      </c>
      <c r="M29" s="1">
        <f t="shared" si="5"/>
        <v>16094</v>
      </c>
      <c r="N29" s="1">
        <v>15873</v>
      </c>
      <c r="O29" s="1">
        <f>SUM(N29-M29)</f>
        <v>-221</v>
      </c>
      <c r="P29" s="1" t="s">
        <v>45</v>
      </c>
    </row>
    <row r="30" spans="1:17" customFormat="1" x14ac:dyDescent="0.25">
      <c r="A30" s="2">
        <v>46232</v>
      </c>
      <c r="B30" s="1" t="s">
        <v>20</v>
      </c>
      <c r="C30" s="1">
        <v>27237</v>
      </c>
      <c r="D30" s="1">
        <v>4200</v>
      </c>
      <c r="E30" s="1">
        <v>0</v>
      </c>
      <c r="F30" s="1">
        <f t="shared" si="6"/>
        <v>23037</v>
      </c>
      <c r="G30" s="1">
        <v>5278</v>
      </c>
      <c r="H30" s="1">
        <v>262</v>
      </c>
      <c r="I30" s="1">
        <f t="shared" si="4"/>
        <v>27237</v>
      </c>
      <c r="J30" s="1">
        <v>400</v>
      </c>
      <c r="K30" s="1">
        <f t="shared" si="3"/>
        <v>5540</v>
      </c>
      <c r="L30" s="1">
        <v>0</v>
      </c>
      <c r="M30" s="1">
        <f t="shared" si="5"/>
        <v>22097</v>
      </c>
      <c r="N30" s="1">
        <v>22053</v>
      </c>
      <c r="O30" s="1">
        <f t="shared" si="2"/>
        <v>-44</v>
      </c>
      <c r="P30" s="1" t="s">
        <v>44</v>
      </c>
      <c r="Q30" t="s">
        <v>49</v>
      </c>
    </row>
    <row r="31" spans="1:17" x14ac:dyDescent="0.25">
      <c r="A31" s="2">
        <v>46233</v>
      </c>
      <c r="B31" s="1" t="s">
        <v>21</v>
      </c>
      <c r="C31" s="1">
        <v>16794</v>
      </c>
      <c r="D31" s="1">
        <v>2250</v>
      </c>
      <c r="E31" s="1">
        <v>0</v>
      </c>
      <c r="F31" s="1">
        <f t="shared" si="6"/>
        <v>14544</v>
      </c>
      <c r="G31" s="1">
        <v>2347</v>
      </c>
      <c r="H31" s="1">
        <v>146</v>
      </c>
      <c r="I31" s="1">
        <f t="shared" si="4"/>
        <v>16794</v>
      </c>
      <c r="J31" s="1">
        <v>100</v>
      </c>
      <c r="K31" s="1">
        <f t="shared" si="3"/>
        <v>2493</v>
      </c>
      <c r="L31" s="1">
        <v>0</v>
      </c>
      <c r="M31" s="1">
        <f t="shared" si="5"/>
        <v>14401</v>
      </c>
      <c r="N31" s="1">
        <v>14409</v>
      </c>
      <c r="O31" s="1">
        <f t="shared" si="2"/>
        <v>8</v>
      </c>
    </row>
    <row r="32" spans="1:17" x14ac:dyDescent="0.25">
      <c r="A32" s="2">
        <v>46234</v>
      </c>
      <c r="B32" s="1" t="s">
        <v>22</v>
      </c>
      <c r="C32" s="1">
        <v>18668</v>
      </c>
      <c r="D32" s="1">
        <v>3600</v>
      </c>
      <c r="E32" s="1">
        <v>0</v>
      </c>
      <c r="F32" s="1">
        <f t="shared" si="6"/>
        <v>15068</v>
      </c>
      <c r="G32" s="1">
        <v>1775</v>
      </c>
      <c r="H32" s="1">
        <v>88</v>
      </c>
      <c r="I32" s="1">
        <f t="shared" si="4"/>
        <v>18668</v>
      </c>
      <c r="J32" s="1">
        <v>350</v>
      </c>
      <c r="K32" s="1">
        <f t="shared" si="3"/>
        <v>1863</v>
      </c>
      <c r="L32" s="1">
        <v>0</v>
      </c>
      <c r="M32" s="1">
        <f t="shared" si="5"/>
        <v>17155</v>
      </c>
      <c r="N32" s="1">
        <v>15337</v>
      </c>
      <c r="O32" s="1">
        <f t="shared" si="2"/>
        <v>-1818</v>
      </c>
      <c r="P32" s="1" t="s">
        <v>46</v>
      </c>
      <c r="Q32" s="1" t="s">
        <v>48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2025-08-01T16:24:21Z</dcterms:modified>
</cp:coreProperties>
</file>