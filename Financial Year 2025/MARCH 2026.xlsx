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MONTHY DATE WISE ACCOUNT\ACCOUNTS-2026\"/>
    </mc:Choice>
  </mc:AlternateContent>
  <xr:revisionPtr revIDLastSave="0" documentId="13_ncr:1_{1A4955C2-4A34-4B87-A769-7F477565F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O3" i="1"/>
  <c r="M12" i="1"/>
  <c r="I8" i="1"/>
  <c r="N37" i="1"/>
  <c r="G37" i="1"/>
  <c r="O4" i="1"/>
  <c r="M4" i="1"/>
  <c r="I9" i="1"/>
  <c r="I11" i="1"/>
  <c r="I23" i="1"/>
  <c r="I32" i="1"/>
  <c r="M32" i="1" s="1"/>
  <c r="O32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4" i="1"/>
  <c r="F4" i="1"/>
  <c r="F5" i="1"/>
  <c r="I5" i="1" s="1"/>
  <c r="M5" i="1" s="1"/>
  <c r="O5" i="1" s="1"/>
  <c r="F6" i="1"/>
  <c r="I6" i="1" s="1"/>
  <c r="F7" i="1"/>
  <c r="I7" i="1" s="1"/>
  <c r="F8" i="1"/>
  <c r="F9" i="1"/>
  <c r="F10" i="1"/>
  <c r="I10" i="1" s="1"/>
  <c r="M10" i="1" s="1"/>
  <c r="O10" i="1" s="1"/>
  <c r="F11" i="1"/>
  <c r="F12" i="1"/>
  <c r="I12" i="1" s="1"/>
  <c r="F13" i="1"/>
  <c r="I13" i="1" s="1"/>
  <c r="F14" i="1"/>
  <c r="I14" i="1" s="1"/>
  <c r="F15" i="1"/>
  <c r="I15" i="1" s="1"/>
  <c r="F16" i="1"/>
  <c r="I16" i="1" s="1"/>
  <c r="M16" i="1" s="1"/>
  <c r="O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F24" i="1"/>
  <c r="I24" i="1" s="1"/>
  <c r="F25" i="1"/>
  <c r="I25" i="1" s="1"/>
  <c r="F26" i="1"/>
  <c r="I26" i="1" s="1"/>
  <c r="M26" i="1" s="1"/>
  <c r="O26" i="1" s="1"/>
  <c r="F27" i="1"/>
  <c r="I27" i="1" s="1"/>
  <c r="F28" i="1"/>
  <c r="I28" i="1" s="1"/>
  <c r="M28" i="1" s="1"/>
  <c r="O28" i="1" s="1"/>
  <c r="F29" i="1"/>
  <c r="I29" i="1" s="1"/>
  <c r="F30" i="1"/>
  <c r="I30" i="1" s="1"/>
  <c r="F31" i="1"/>
  <c r="I31" i="1" s="1"/>
  <c r="F32" i="1"/>
  <c r="F2" i="1"/>
  <c r="F3" i="1"/>
  <c r="M31" i="1" l="1"/>
  <c r="O31" i="1" s="1"/>
  <c r="M30" i="1"/>
  <c r="O30" i="1" s="1"/>
  <c r="M29" i="1"/>
  <c r="O29" i="1" s="1"/>
  <c r="M27" i="1"/>
  <c r="O27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5" i="1"/>
  <c r="O15" i="1" s="1"/>
  <c r="M14" i="1"/>
  <c r="O14" i="1" s="1"/>
  <c r="M13" i="1"/>
  <c r="O13" i="1" s="1"/>
  <c r="O12" i="1"/>
  <c r="M11" i="1"/>
  <c r="O11" i="1" s="1"/>
  <c r="M9" i="1"/>
  <c r="O9" i="1" s="1"/>
  <c r="M8" i="1"/>
  <c r="O8" i="1" s="1"/>
  <c r="M7" i="1"/>
  <c r="O7" i="1" s="1"/>
  <c r="M6" i="1"/>
  <c r="O6" i="1" s="1"/>
  <c r="I2" i="1"/>
  <c r="K2" i="1"/>
  <c r="K3" i="1"/>
  <c r="I3" i="1"/>
  <c r="M3" i="1" l="1"/>
  <c r="M2" i="1"/>
  <c r="O2" i="1" s="1"/>
</calcChain>
</file>

<file path=xl/sharedStrings.xml><?xml version="1.0" encoding="utf-8"?>
<sst xmlns="http://schemas.openxmlformats.org/spreadsheetml/2006/main" count="61" uniqueCount="37">
  <si>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</si>
  <si>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</si>
  <si>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</si>
  <si>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</si>
  <si>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</si>
  <si>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</si>
  <si>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</si>
  <si>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</si>
  <si>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</si>
  <si>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</si>
  <si>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</si>
  <si>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</si>
  <si>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</si>
  <si>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</si>
  <si>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</si>
  <si>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</si>
  <si>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</si>
  <si>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</si>
  <si>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</si>
  <si>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</si>
  <si>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</si>
  <si>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</si>
  <si>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</si>
  <si>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</si>
  <si>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206 varsha due</t>
  </si>
  <si>
    <t xml:space="preserve"> </t>
  </si>
  <si>
    <t xml:space="preserve">565 due </t>
  </si>
  <si>
    <t>521 rajmohan</t>
  </si>
  <si>
    <t>17 CHELLAIYAN</t>
  </si>
  <si>
    <t>medicine cover</t>
  </si>
  <si>
    <t>94 jayathi,</t>
  </si>
  <si>
    <t xml:space="preserve">300 DUE </t>
  </si>
  <si>
    <t>chellaiyan -3143</t>
  </si>
  <si>
    <t>vickey 2919</t>
  </si>
  <si>
    <t xml:space="preserve">936 varsha </t>
  </si>
  <si>
    <t>896 varsha</t>
  </si>
  <si>
    <t>1013-VARSHA,27 RAVIKUMAR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</si>
</sst>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90" zoomScaleNormal="90" workbookViewId="0">
      <selection activeCell="O29" sqref="O29"/>
    </sheetView>
  </sheetViews>
  <sheetFormatPr defaultRowHeight="15" x14ac:dyDescent="0.25"/>
  <cols>
    <col min="1" max="1" width="21.7109375" style="1" customWidth="1"/>
    <col min="2" max="2" width="12.140625" style="1" bestFit="1" customWidth="1"/>
    <col min="3" max="3" width="34.42578125" style="1" bestFit="1" customWidth="1"/>
    <col min="4" max="4" width="18.5703125" style="1" bestFit="1" customWidth="1"/>
    <col min="5" max="5" width="10.28515625" style="1" bestFit="1" customWidth="1"/>
    <col min="6" max="6" width="21.85546875" style="1" bestFit="1" customWidth="1"/>
    <col min="7" max="7" width="8.42578125" style="1" bestFit="1" customWidth="1"/>
    <col min="8" max="8" width="8.7109375" style="1" bestFit="1" customWidth="1"/>
    <col min="9" max="9" width="6.7109375" style="1" bestFit="1" customWidth="1"/>
    <col min="10" max="10" width="14.42578125" style="1" bestFit="1" customWidth="1"/>
    <col min="11" max="11" width="16.28515625" style="1" bestFit="1" customWidth="1"/>
    <col min="12" max="12" width="8.140625" style="1" bestFit="1" customWidth="1"/>
    <col min="13" max="13" width="11.7109375" style="1" bestFit="1" customWidth="1"/>
    <col min="14" max="14" width="18.140625" style="1" bestFit="1" customWidth="1"/>
    <col min="15" max="15" width="15.28515625" style="1" bestFit="1" customWidth="1"/>
    <col min="16" max="16" width="52.28515625" style="1" customWidth="1"/>
    <col min="17" max="17" width="5.57031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</v>
      </c>
      <c r="K1" s="3" t="s">
        <v>9</v>
      </c>
      <c r="L1" s="3" t="s">
        <v>23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>
        <v>46082</v>
      </c>
      <c r="B2" s="1" t="s">
        <v>21</v>
      </c>
      <c r="C2" s="1">
        <v>22093</v>
      </c>
      <c r="D2" s="1">
        <v>4350</v>
      </c>
      <c r="E2" s="1">
        <v>500</v>
      </c>
      <c r="F2" s="1">
        <f>SUM(C2-D2-E2)</f>
        <v>17243</v>
      </c>
      <c r="G2" s="1">
        <v>5376</v>
      </c>
      <c r="H2" s="1">
        <v>0</v>
      </c>
      <c r="I2" s="1">
        <f>SUM(D2,E2,F2)</f>
        <v>22093</v>
      </c>
      <c r="J2" s="1">
        <v>550</v>
      </c>
      <c r="K2" s="1">
        <f>SUM(G2,H2)</f>
        <v>5376</v>
      </c>
      <c r="L2" s="1">
        <v>0</v>
      </c>
      <c r="M2" s="1">
        <f>SUM(I2,J2-K2-L2)</f>
        <v>17267</v>
      </c>
      <c r="N2" s="1">
        <v>17265</v>
      </c>
      <c r="O2" s="1">
        <f>SUM(N2-M2)</f>
        <v>-2</v>
      </c>
    </row>
    <row r="3" spans="1:17" x14ac:dyDescent="0.25">
      <c r="A3" s="2">
        <v>46083</v>
      </c>
      <c r="B3" s="1" t="s">
        <v>22</v>
      </c>
      <c r="C3" s="1">
        <v>29449</v>
      </c>
      <c r="D3" s="1">
        <v>4550</v>
      </c>
      <c r="E3" s="1">
        <v>300</v>
      </c>
      <c r="F3" s="1">
        <f>SUM(C3-D3-E3)</f>
        <v>24599</v>
      </c>
      <c r="G3" s="1">
        <v>9867</v>
      </c>
      <c r="H3" s="1">
        <v>1055</v>
      </c>
      <c r="I3" s="1">
        <f>SUM(D3,E3,F3)</f>
        <v>29449</v>
      </c>
      <c r="J3" s="1">
        <v>0</v>
      </c>
      <c r="K3" s="1">
        <f t="shared" ref="K3:K32" si="0">SUM(G3,H3)</f>
        <v>10922</v>
      </c>
      <c r="L3" s="1">
        <v>0</v>
      </c>
      <c r="M3" s="1">
        <f t="shared" ref="M3:M32" si="1">SUM(I3,J3-K3-L3)</f>
        <v>18527</v>
      </c>
      <c r="N3" s="1">
        <v>18506</v>
      </c>
      <c r="O3" s="1">
        <f t="shared" ref="O3:O32" si="2">SUM(N3-M3)</f>
        <v>-21</v>
      </c>
      <c r="P3" s="1" t="s">
        <v>28</v>
      </c>
    </row>
    <row r="4" spans="1:17" x14ac:dyDescent="0.25">
      <c r="A4" s="2">
        <v>46084</v>
      </c>
      <c r="B4" s="1" t="s">
        <v>16</v>
      </c>
      <c r="C4" s="1">
        <v>27360</v>
      </c>
      <c r="D4" s="1">
        <v>5250</v>
      </c>
      <c r="E4" s="1">
        <v>800</v>
      </c>
      <c r="F4" s="1">
        <f t="shared" ref="F4:F32" si="3">SUM(C4-D4-E4)</f>
        <v>21310</v>
      </c>
      <c r="G4" s="1">
        <v>2823</v>
      </c>
      <c r="H4" s="1">
        <v>140</v>
      </c>
      <c r="I4" s="1">
        <f t="shared" ref="I4:I32" si="4">SUM(D4,E4,F4)</f>
        <v>27360</v>
      </c>
      <c r="J4" s="1">
        <v>450</v>
      </c>
      <c r="K4" s="1">
        <f t="shared" si="0"/>
        <v>2963</v>
      </c>
      <c r="L4" s="1">
        <v>0</v>
      </c>
      <c r="M4" s="1">
        <f t="shared" si="1"/>
        <v>24847</v>
      </c>
      <c r="N4" s="1">
        <v>24850</v>
      </c>
      <c r="O4" s="1">
        <f t="shared" si="2"/>
        <v>3</v>
      </c>
    </row>
    <row r="5" spans="1:17" x14ac:dyDescent="0.25">
      <c r="A5" s="2">
        <v>46085</v>
      </c>
      <c r="B5" s="1" t="s">
        <v>17</v>
      </c>
      <c r="C5" s="1">
        <v>27804</v>
      </c>
      <c r="D5" s="1">
        <v>5400</v>
      </c>
      <c r="E5" s="1">
        <v>300</v>
      </c>
      <c r="F5" s="1">
        <f t="shared" si="3"/>
        <v>22104</v>
      </c>
      <c r="G5" s="1">
        <v>10230</v>
      </c>
      <c r="H5" s="1">
        <v>8</v>
      </c>
      <c r="I5" s="1">
        <f t="shared" si="4"/>
        <v>27804</v>
      </c>
      <c r="J5" s="1">
        <v>1800</v>
      </c>
      <c r="K5" s="1">
        <f t="shared" si="0"/>
        <v>10238</v>
      </c>
      <c r="L5" s="1">
        <v>0</v>
      </c>
      <c r="M5" s="1">
        <f t="shared" si="1"/>
        <v>19366</v>
      </c>
      <c r="N5" s="1">
        <v>19167</v>
      </c>
      <c r="O5" s="1">
        <f t="shared" si="2"/>
        <v>-199</v>
      </c>
      <c r="P5" s="1" t="s">
        <v>24</v>
      </c>
      <c r="Q5" s="1" t="s">
        <v>25</v>
      </c>
    </row>
    <row r="6" spans="1:17" x14ac:dyDescent="0.25">
      <c r="A6" s="2">
        <v>46086</v>
      </c>
      <c r="B6" s="1" t="s">
        <v>18</v>
      </c>
      <c r="C6" s="1">
        <v>30820</v>
      </c>
      <c r="D6" s="1">
        <v>5700</v>
      </c>
      <c r="E6" s="1">
        <v>850</v>
      </c>
      <c r="F6" s="1">
        <f t="shared" si="3"/>
        <v>24270</v>
      </c>
      <c r="G6" s="1">
        <v>9014</v>
      </c>
      <c r="H6" s="1">
        <v>508</v>
      </c>
      <c r="I6" s="1">
        <f t="shared" si="4"/>
        <v>30820</v>
      </c>
      <c r="J6" s="1">
        <v>1350</v>
      </c>
      <c r="K6" s="1">
        <f t="shared" si="0"/>
        <v>9522</v>
      </c>
      <c r="L6" s="1">
        <v>0</v>
      </c>
      <c r="M6" s="1">
        <f t="shared" si="1"/>
        <v>22648</v>
      </c>
      <c r="N6" s="1">
        <v>22646</v>
      </c>
      <c r="O6" s="1">
        <f t="shared" si="2"/>
        <v>-2</v>
      </c>
    </row>
    <row r="7" spans="1:17" x14ac:dyDescent="0.25">
      <c r="A7" s="2">
        <v>46087</v>
      </c>
      <c r="B7" s="1" t="s">
        <v>19</v>
      </c>
      <c r="C7" s="1">
        <v>27966</v>
      </c>
      <c r="D7" s="1">
        <v>4050</v>
      </c>
      <c r="E7" s="1">
        <v>350</v>
      </c>
      <c r="F7" s="1">
        <f t="shared" si="3"/>
        <v>23566</v>
      </c>
      <c r="G7" s="1">
        <v>10845</v>
      </c>
      <c r="H7" s="1">
        <v>155</v>
      </c>
      <c r="I7" s="1">
        <f t="shared" si="4"/>
        <v>27966</v>
      </c>
      <c r="J7" s="1">
        <v>510</v>
      </c>
      <c r="K7" s="1">
        <f t="shared" si="0"/>
        <v>11000</v>
      </c>
      <c r="L7" s="1">
        <v>0</v>
      </c>
      <c r="M7" s="1">
        <f t="shared" si="1"/>
        <v>17476</v>
      </c>
      <c r="N7" s="1">
        <v>17480</v>
      </c>
      <c r="O7" s="1">
        <f t="shared" si="2"/>
        <v>4</v>
      </c>
    </row>
    <row r="8" spans="1:17" x14ac:dyDescent="0.25">
      <c r="A8" s="2">
        <v>46088</v>
      </c>
      <c r="B8" s="1" t="s">
        <v>20</v>
      </c>
      <c r="C8" s="1">
        <v>27773</v>
      </c>
      <c r="D8" s="1">
        <v>4200</v>
      </c>
      <c r="E8" s="1">
        <v>400</v>
      </c>
      <c r="F8" s="1">
        <f t="shared" si="3"/>
        <v>23173</v>
      </c>
      <c r="G8" s="1">
        <v>11013</v>
      </c>
      <c r="H8" s="1">
        <v>408</v>
      </c>
      <c r="I8" s="1">
        <f t="shared" si="4"/>
        <v>27773</v>
      </c>
      <c r="J8" s="1">
        <v>330</v>
      </c>
      <c r="K8" s="1">
        <f t="shared" si="0"/>
        <v>11421</v>
      </c>
      <c r="L8" s="1">
        <v>0</v>
      </c>
      <c r="M8" s="1">
        <f t="shared" si="1"/>
        <v>16682</v>
      </c>
      <c r="N8" s="1">
        <v>16692</v>
      </c>
      <c r="O8" s="1">
        <f t="shared" si="2"/>
        <v>10</v>
      </c>
    </row>
    <row r="9" spans="1:17" x14ac:dyDescent="0.25">
      <c r="A9" s="2">
        <v>46089</v>
      </c>
      <c r="B9" s="1" t="s">
        <v>21</v>
      </c>
      <c r="C9" s="1">
        <v>16266</v>
      </c>
      <c r="D9" s="1">
        <v>3300</v>
      </c>
      <c r="E9" s="1">
        <v>200</v>
      </c>
      <c r="F9" s="1">
        <f t="shared" si="3"/>
        <v>12766</v>
      </c>
      <c r="G9" s="1">
        <v>4727</v>
      </c>
      <c r="H9" s="1">
        <v>240</v>
      </c>
      <c r="I9" s="1">
        <f t="shared" si="4"/>
        <v>16266</v>
      </c>
      <c r="J9" s="1">
        <v>20</v>
      </c>
      <c r="K9" s="1">
        <f t="shared" si="0"/>
        <v>4967</v>
      </c>
      <c r="L9" s="1">
        <v>0</v>
      </c>
      <c r="M9" s="1">
        <f t="shared" si="1"/>
        <v>11319</v>
      </c>
      <c r="N9" s="1">
        <v>11320</v>
      </c>
      <c r="O9" s="1">
        <f t="shared" si="2"/>
        <v>1</v>
      </c>
    </row>
    <row r="10" spans="1:17" x14ac:dyDescent="0.25">
      <c r="A10" s="2">
        <v>46090</v>
      </c>
      <c r="B10" s="1" t="s">
        <v>22</v>
      </c>
      <c r="C10" s="1">
        <v>32257</v>
      </c>
      <c r="D10" s="1">
        <v>5100</v>
      </c>
      <c r="E10" s="1">
        <v>200</v>
      </c>
      <c r="F10" s="1">
        <f t="shared" si="3"/>
        <v>26957</v>
      </c>
      <c r="G10" s="1">
        <v>4469</v>
      </c>
      <c r="H10" s="1">
        <v>60</v>
      </c>
      <c r="I10" s="1">
        <f t="shared" si="4"/>
        <v>32257</v>
      </c>
      <c r="J10" s="1">
        <v>180</v>
      </c>
      <c r="K10" s="1">
        <f t="shared" si="0"/>
        <v>4529</v>
      </c>
      <c r="L10" s="1">
        <v>637</v>
      </c>
      <c r="M10" s="1">
        <f t="shared" si="1"/>
        <v>27271</v>
      </c>
      <c r="N10" s="1">
        <v>26810</v>
      </c>
      <c r="O10" s="1">
        <f t="shared" si="2"/>
        <v>-461</v>
      </c>
      <c r="P10" s="1" t="s">
        <v>26</v>
      </c>
    </row>
    <row r="11" spans="1:17" x14ac:dyDescent="0.25">
      <c r="A11" s="2">
        <v>46091</v>
      </c>
      <c r="B11" s="1" t="s">
        <v>16</v>
      </c>
      <c r="C11" s="1">
        <v>23390</v>
      </c>
      <c r="D11" s="1">
        <v>4200</v>
      </c>
      <c r="E11" s="1">
        <v>150</v>
      </c>
      <c r="F11" s="1">
        <f t="shared" si="3"/>
        <v>19040</v>
      </c>
      <c r="G11" s="1">
        <v>6391</v>
      </c>
      <c r="H11" s="1">
        <v>70</v>
      </c>
      <c r="I11" s="1">
        <f t="shared" si="4"/>
        <v>23390</v>
      </c>
      <c r="J11" s="1">
        <v>300</v>
      </c>
      <c r="K11" s="1">
        <f t="shared" si="0"/>
        <v>6461</v>
      </c>
      <c r="L11" s="1">
        <v>48</v>
      </c>
      <c r="M11" s="1">
        <f t="shared" si="1"/>
        <v>17181</v>
      </c>
      <c r="N11" s="1">
        <v>17183</v>
      </c>
      <c r="O11" s="1">
        <f t="shared" si="2"/>
        <v>2</v>
      </c>
    </row>
    <row r="12" spans="1:17" x14ac:dyDescent="0.25">
      <c r="A12" s="2">
        <v>46092</v>
      </c>
      <c r="B12" s="1" t="s">
        <v>17</v>
      </c>
      <c r="C12" s="1">
        <v>27123</v>
      </c>
      <c r="D12" s="1">
        <v>5300</v>
      </c>
      <c r="E12" s="1">
        <v>450</v>
      </c>
      <c r="F12" s="1">
        <f t="shared" si="3"/>
        <v>21373</v>
      </c>
      <c r="G12" s="1">
        <v>5459</v>
      </c>
      <c r="H12" s="1">
        <v>4005</v>
      </c>
      <c r="I12" s="1">
        <f t="shared" si="4"/>
        <v>27123</v>
      </c>
      <c r="J12" s="1">
        <v>150</v>
      </c>
      <c r="K12" s="1">
        <f t="shared" si="0"/>
        <v>9464</v>
      </c>
      <c r="L12" s="1">
        <v>0</v>
      </c>
      <c r="M12" s="1">
        <f t="shared" si="1"/>
        <v>17809</v>
      </c>
      <c r="N12" s="1">
        <v>17820</v>
      </c>
      <c r="O12" s="1">
        <f t="shared" si="2"/>
        <v>11</v>
      </c>
      <c r="P12" s="1" t="s">
        <v>27</v>
      </c>
    </row>
    <row r="13" spans="1:17" x14ac:dyDescent="0.25">
      <c r="A13" s="2">
        <v>46093</v>
      </c>
      <c r="B13" s="1" t="s">
        <v>18</v>
      </c>
      <c r="C13" s="1">
        <v>24387</v>
      </c>
      <c r="D13" s="1">
        <v>4650</v>
      </c>
      <c r="E13" s="1">
        <v>200</v>
      </c>
      <c r="F13" s="1">
        <f t="shared" si="3"/>
        <v>19537</v>
      </c>
      <c r="G13" s="1">
        <v>5632</v>
      </c>
      <c r="H13" s="1">
        <v>374</v>
      </c>
      <c r="I13" s="1">
        <f t="shared" si="4"/>
        <v>24387</v>
      </c>
      <c r="J13" s="1">
        <v>100</v>
      </c>
      <c r="K13" s="1">
        <f t="shared" si="0"/>
        <v>6006</v>
      </c>
      <c r="L13" s="1">
        <v>199</v>
      </c>
      <c r="M13" s="1">
        <f t="shared" si="1"/>
        <v>18282</v>
      </c>
      <c r="N13" s="1">
        <v>18286</v>
      </c>
      <c r="O13" s="1">
        <f t="shared" si="2"/>
        <v>4</v>
      </c>
    </row>
    <row r="14" spans="1:17" x14ac:dyDescent="0.25">
      <c r="A14" s="2">
        <v>46094</v>
      </c>
      <c r="B14" s="1" t="s">
        <v>19</v>
      </c>
      <c r="C14" s="1">
        <v>25016</v>
      </c>
      <c r="D14" s="1">
        <v>5100</v>
      </c>
      <c r="E14" s="1">
        <v>200</v>
      </c>
      <c r="F14" s="1">
        <f t="shared" si="3"/>
        <v>19716</v>
      </c>
      <c r="G14" s="1">
        <v>5265</v>
      </c>
      <c r="H14" s="1">
        <v>352</v>
      </c>
      <c r="I14" s="1">
        <f t="shared" si="4"/>
        <v>25016</v>
      </c>
      <c r="J14" s="1">
        <v>250</v>
      </c>
      <c r="K14" s="1">
        <f t="shared" si="0"/>
        <v>5617</v>
      </c>
      <c r="L14" s="1">
        <v>0</v>
      </c>
      <c r="M14" s="1">
        <f t="shared" si="1"/>
        <v>19649</v>
      </c>
      <c r="N14" s="1">
        <v>19650</v>
      </c>
      <c r="O14" s="1">
        <f t="shared" si="2"/>
        <v>1</v>
      </c>
    </row>
    <row r="15" spans="1:17" x14ac:dyDescent="0.25">
      <c r="A15" s="2">
        <v>46095</v>
      </c>
      <c r="B15" s="1" t="s">
        <v>20</v>
      </c>
      <c r="C15" s="1">
        <v>40828</v>
      </c>
      <c r="D15" s="1">
        <v>4800</v>
      </c>
      <c r="E15" s="1">
        <v>750</v>
      </c>
      <c r="F15" s="1">
        <f t="shared" si="3"/>
        <v>35278</v>
      </c>
      <c r="G15" s="1">
        <v>20830</v>
      </c>
      <c r="H15" s="1">
        <v>16427</v>
      </c>
      <c r="I15" s="1">
        <f t="shared" si="4"/>
        <v>40828</v>
      </c>
      <c r="J15" s="1">
        <v>80</v>
      </c>
      <c r="K15" s="1">
        <f t="shared" si="0"/>
        <v>37257</v>
      </c>
      <c r="L15" s="1">
        <v>125</v>
      </c>
      <c r="M15" s="1">
        <f t="shared" si="1"/>
        <v>3526</v>
      </c>
      <c r="N15" s="1">
        <v>19932</v>
      </c>
      <c r="O15" s="1">
        <f t="shared" si="2"/>
        <v>16406</v>
      </c>
      <c r="P15" s="1" t="s">
        <v>29</v>
      </c>
    </row>
    <row r="16" spans="1:17" x14ac:dyDescent="0.25">
      <c r="A16" s="2">
        <v>46096</v>
      </c>
      <c r="B16" s="1" t="s">
        <v>21</v>
      </c>
      <c r="C16" s="1">
        <v>21700</v>
      </c>
      <c r="D16" s="1">
        <v>4200</v>
      </c>
      <c r="E16" s="1">
        <v>600</v>
      </c>
      <c r="F16" s="1">
        <f t="shared" si="3"/>
        <v>16900</v>
      </c>
      <c r="G16" s="1">
        <v>4617</v>
      </c>
      <c r="H16" s="1">
        <v>0</v>
      </c>
      <c r="I16" s="1">
        <f t="shared" si="4"/>
        <v>21700</v>
      </c>
      <c r="J16" s="1">
        <v>250</v>
      </c>
      <c r="K16" s="1">
        <f t="shared" si="0"/>
        <v>4617</v>
      </c>
      <c r="L16" s="1">
        <v>0</v>
      </c>
      <c r="M16" s="1">
        <f t="shared" si="1"/>
        <v>17333</v>
      </c>
      <c r="N16" s="1">
        <v>17326</v>
      </c>
      <c r="O16" s="1">
        <f t="shared" si="2"/>
        <v>-7</v>
      </c>
    </row>
    <row r="17" spans="1:16" x14ac:dyDescent="0.25">
      <c r="A17" s="2">
        <v>46097</v>
      </c>
      <c r="B17" s="1" t="s">
        <v>22</v>
      </c>
      <c r="C17" s="1">
        <v>24972</v>
      </c>
      <c r="D17" s="1">
        <v>4200</v>
      </c>
      <c r="E17" s="1">
        <v>650</v>
      </c>
      <c r="F17" s="1">
        <f t="shared" si="3"/>
        <v>20122</v>
      </c>
      <c r="G17" s="1">
        <v>6817</v>
      </c>
      <c r="H17" s="1">
        <v>87</v>
      </c>
      <c r="I17" s="1">
        <f t="shared" si="4"/>
        <v>24972</v>
      </c>
      <c r="J17" s="1">
        <v>0</v>
      </c>
      <c r="K17" s="1">
        <f t="shared" si="0"/>
        <v>6904</v>
      </c>
      <c r="L17" s="1">
        <v>328</v>
      </c>
      <c r="M17" s="1">
        <f t="shared" si="1"/>
        <v>17740</v>
      </c>
      <c r="N17" s="1">
        <v>17740</v>
      </c>
      <c r="O17" s="1">
        <f t="shared" si="2"/>
        <v>0</v>
      </c>
    </row>
    <row r="18" spans="1:16" x14ac:dyDescent="0.25">
      <c r="A18" s="2">
        <v>46098</v>
      </c>
      <c r="B18" s="1" t="s">
        <v>16</v>
      </c>
      <c r="C18" s="1">
        <v>29457</v>
      </c>
      <c r="D18" s="1">
        <v>5100</v>
      </c>
      <c r="E18" s="1">
        <v>600</v>
      </c>
      <c r="F18" s="1">
        <f t="shared" si="3"/>
        <v>23757</v>
      </c>
      <c r="G18" s="1">
        <v>11916</v>
      </c>
      <c r="H18" s="1">
        <v>0</v>
      </c>
      <c r="I18" s="1">
        <f t="shared" si="4"/>
        <v>29457</v>
      </c>
      <c r="J18" s="1">
        <v>130</v>
      </c>
      <c r="K18" s="1">
        <f t="shared" si="0"/>
        <v>11916</v>
      </c>
      <c r="L18" s="1">
        <v>0</v>
      </c>
      <c r="M18" s="1">
        <f t="shared" si="1"/>
        <v>17671</v>
      </c>
      <c r="N18" s="1">
        <v>17096</v>
      </c>
      <c r="O18" s="1">
        <f t="shared" si="2"/>
        <v>-575</v>
      </c>
    </row>
    <row r="19" spans="1:16" x14ac:dyDescent="0.25">
      <c r="A19" s="2">
        <v>46099</v>
      </c>
      <c r="B19" s="1" t="s">
        <v>17</v>
      </c>
      <c r="C19" s="1">
        <v>19734</v>
      </c>
      <c r="D19" s="1">
        <v>3600</v>
      </c>
      <c r="E19" s="1">
        <v>300</v>
      </c>
      <c r="F19" s="1">
        <f t="shared" si="3"/>
        <v>15834</v>
      </c>
      <c r="G19" s="1">
        <v>5806</v>
      </c>
      <c r="H19" s="1">
        <v>180</v>
      </c>
      <c r="I19" s="1">
        <f t="shared" si="4"/>
        <v>19734</v>
      </c>
      <c r="J19" s="1">
        <v>185</v>
      </c>
      <c r="K19" s="1">
        <f t="shared" si="0"/>
        <v>5986</v>
      </c>
      <c r="L19" s="1">
        <v>74</v>
      </c>
      <c r="M19" s="1">
        <f t="shared" si="1"/>
        <v>13859</v>
      </c>
      <c r="N19" s="1">
        <v>13860</v>
      </c>
      <c r="O19" s="1">
        <f t="shared" si="2"/>
        <v>1</v>
      </c>
    </row>
    <row r="20" spans="1:16" x14ac:dyDescent="0.25">
      <c r="A20" s="2">
        <v>46100</v>
      </c>
      <c r="B20" s="1" t="s">
        <v>18</v>
      </c>
      <c r="C20" s="1">
        <v>27024</v>
      </c>
      <c r="D20" s="1">
        <v>5250</v>
      </c>
      <c r="E20" s="1">
        <v>600</v>
      </c>
      <c r="F20" s="1">
        <f t="shared" si="3"/>
        <v>21174</v>
      </c>
      <c r="G20" s="1">
        <v>7030</v>
      </c>
      <c r="H20" s="1">
        <v>0</v>
      </c>
      <c r="I20" s="1">
        <f t="shared" si="4"/>
        <v>27024</v>
      </c>
      <c r="J20" s="1">
        <v>230</v>
      </c>
      <c r="K20" s="1">
        <f t="shared" si="0"/>
        <v>7030</v>
      </c>
      <c r="L20" s="1">
        <v>750</v>
      </c>
      <c r="M20" s="1">
        <f t="shared" si="1"/>
        <v>19474</v>
      </c>
      <c r="N20" s="1">
        <v>19382</v>
      </c>
      <c r="O20" s="1">
        <f t="shared" si="2"/>
        <v>-92</v>
      </c>
      <c r="P20" s="1" t="s">
        <v>30</v>
      </c>
    </row>
    <row r="21" spans="1:16" x14ac:dyDescent="0.25">
      <c r="A21" s="2">
        <v>46101</v>
      </c>
      <c r="B21" s="1" t="s">
        <v>19</v>
      </c>
      <c r="C21" s="1">
        <v>22920</v>
      </c>
      <c r="D21" s="1">
        <v>3450</v>
      </c>
      <c r="E21" s="1">
        <v>400</v>
      </c>
      <c r="F21" s="1">
        <f t="shared" si="3"/>
        <v>19070</v>
      </c>
      <c r="G21" s="1">
        <v>6403</v>
      </c>
      <c r="H21" s="1">
        <v>200</v>
      </c>
      <c r="I21" s="1">
        <f t="shared" si="4"/>
        <v>22920</v>
      </c>
      <c r="J21" s="1">
        <v>0</v>
      </c>
      <c r="K21" s="1">
        <f t="shared" si="0"/>
        <v>6603</v>
      </c>
      <c r="L21" s="1">
        <v>113</v>
      </c>
      <c r="M21" s="1">
        <f t="shared" si="1"/>
        <v>16204</v>
      </c>
      <c r="N21" s="1">
        <v>15916</v>
      </c>
      <c r="O21" s="1">
        <f t="shared" si="2"/>
        <v>-288</v>
      </c>
      <c r="P21" s="1" t="s">
        <v>31</v>
      </c>
    </row>
    <row r="22" spans="1:16" x14ac:dyDescent="0.25">
      <c r="A22" s="2">
        <v>46102</v>
      </c>
      <c r="B22" s="1" t="s">
        <v>20</v>
      </c>
      <c r="C22" s="1">
        <v>18680</v>
      </c>
      <c r="D22" s="1">
        <v>3600</v>
      </c>
      <c r="E22" s="1">
        <v>550</v>
      </c>
      <c r="F22" s="1">
        <f t="shared" si="3"/>
        <v>14530</v>
      </c>
      <c r="G22" s="1">
        <v>5269</v>
      </c>
      <c r="H22" s="1">
        <v>0</v>
      </c>
      <c r="I22" s="1">
        <f t="shared" si="4"/>
        <v>18680</v>
      </c>
      <c r="J22" s="1">
        <v>150</v>
      </c>
      <c r="K22" s="1">
        <f t="shared" si="0"/>
        <v>5269</v>
      </c>
      <c r="L22" s="1">
        <v>86</v>
      </c>
      <c r="M22" s="1">
        <f t="shared" si="1"/>
        <v>13475</v>
      </c>
      <c r="N22" s="1">
        <v>13480</v>
      </c>
      <c r="O22" s="1">
        <f t="shared" si="2"/>
        <v>5</v>
      </c>
    </row>
    <row r="23" spans="1:16" x14ac:dyDescent="0.25">
      <c r="A23" s="2">
        <v>46103</v>
      </c>
      <c r="B23" s="1" t="s">
        <v>21</v>
      </c>
      <c r="C23" s="1">
        <v>23098</v>
      </c>
      <c r="D23" s="1">
        <v>4050</v>
      </c>
      <c r="E23" s="1">
        <v>800</v>
      </c>
      <c r="F23" s="1">
        <f t="shared" si="3"/>
        <v>18248</v>
      </c>
      <c r="G23" s="1">
        <v>7210</v>
      </c>
      <c r="H23" s="1">
        <v>20</v>
      </c>
      <c r="I23" s="1">
        <f t="shared" si="4"/>
        <v>23098</v>
      </c>
      <c r="J23" s="1">
        <v>390</v>
      </c>
      <c r="K23" s="1">
        <f t="shared" si="0"/>
        <v>7230</v>
      </c>
      <c r="L23" s="1">
        <v>0</v>
      </c>
      <c r="M23" s="1">
        <f t="shared" si="1"/>
        <v>16258</v>
      </c>
      <c r="N23" s="1">
        <v>16260</v>
      </c>
      <c r="O23" s="1">
        <f t="shared" si="2"/>
        <v>2</v>
      </c>
    </row>
    <row r="24" spans="1:16" x14ac:dyDescent="0.25">
      <c r="A24" s="2">
        <v>46104</v>
      </c>
      <c r="B24" s="1" t="s">
        <v>22</v>
      </c>
      <c r="C24" s="1">
        <v>28050</v>
      </c>
      <c r="D24" s="1">
        <v>4650</v>
      </c>
      <c r="E24" s="1">
        <v>1050</v>
      </c>
      <c r="F24" s="1">
        <f t="shared" si="3"/>
        <v>22350</v>
      </c>
      <c r="G24" s="1">
        <v>6030</v>
      </c>
      <c r="H24" s="1">
        <v>225</v>
      </c>
      <c r="I24" s="1">
        <f t="shared" si="4"/>
        <v>28050</v>
      </c>
      <c r="J24" s="1">
        <v>50</v>
      </c>
      <c r="K24" s="1">
        <f t="shared" si="0"/>
        <v>6255</v>
      </c>
      <c r="L24" s="1">
        <v>0</v>
      </c>
      <c r="M24" s="1">
        <f t="shared" si="1"/>
        <v>21845</v>
      </c>
      <c r="N24" s="1">
        <v>21850</v>
      </c>
      <c r="O24" s="1">
        <f t="shared" si="2"/>
        <v>5</v>
      </c>
    </row>
    <row r="25" spans="1:16" x14ac:dyDescent="0.25">
      <c r="A25" s="2">
        <v>46105</v>
      </c>
      <c r="B25" s="1" t="s">
        <v>16</v>
      </c>
      <c r="C25" s="1">
        <v>25998</v>
      </c>
      <c r="D25" s="1">
        <v>4050</v>
      </c>
      <c r="E25" s="1">
        <v>600</v>
      </c>
      <c r="F25" s="1">
        <f t="shared" si="3"/>
        <v>21348</v>
      </c>
      <c r="G25" s="1">
        <v>3135</v>
      </c>
      <c r="H25" s="1">
        <v>2385</v>
      </c>
      <c r="I25" s="1">
        <f t="shared" si="4"/>
        <v>25998</v>
      </c>
      <c r="J25" s="1">
        <v>50</v>
      </c>
      <c r="K25" s="1">
        <f t="shared" si="0"/>
        <v>5520</v>
      </c>
      <c r="L25" s="1">
        <v>0</v>
      </c>
      <c r="M25" s="1">
        <f t="shared" si="1"/>
        <v>20528</v>
      </c>
      <c r="N25" s="1">
        <v>20528</v>
      </c>
      <c r="O25" s="1">
        <f t="shared" si="2"/>
        <v>0</v>
      </c>
    </row>
    <row r="26" spans="1:16" x14ac:dyDescent="0.25">
      <c r="A26" s="2">
        <v>46106</v>
      </c>
      <c r="B26" s="1" t="s">
        <v>17</v>
      </c>
      <c r="C26" s="1">
        <v>22368</v>
      </c>
      <c r="D26" s="1">
        <v>3700</v>
      </c>
      <c r="E26" s="1">
        <v>300</v>
      </c>
      <c r="F26" s="1">
        <f t="shared" si="3"/>
        <v>18368</v>
      </c>
      <c r="G26" s="1">
        <v>5463</v>
      </c>
      <c r="H26" s="1">
        <v>200</v>
      </c>
      <c r="I26" s="1">
        <f t="shared" si="4"/>
        <v>22368</v>
      </c>
      <c r="J26" s="1">
        <v>80</v>
      </c>
      <c r="K26" s="1">
        <f t="shared" si="0"/>
        <v>5663</v>
      </c>
      <c r="L26" s="1">
        <v>0</v>
      </c>
      <c r="M26" s="1">
        <f t="shared" si="1"/>
        <v>16785</v>
      </c>
      <c r="N26" s="1">
        <v>16785</v>
      </c>
      <c r="O26" s="1">
        <f t="shared" si="2"/>
        <v>0</v>
      </c>
    </row>
    <row r="27" spans="1:16" x14ac:dyDescent="0.25">
      <c r="A27" s="2">
        <v>46107</v>
      </c>
      <c r="B27" s="1" t="s">
        <v>18</v>
      </c>
      <c r="C27" s="1">
        <v>27987</v>
      </c>
      <c r="D27" s="1">
        <v>5250</v>
      </c>
      <c r="E27" s="1">
        <v>300</v>
      </c>
      <c r="F27" s="1">
        <f t="shared" si="3"/>
        <v>22437</v>
      </c>
      <c r="G27" s="1">
        <v>7655</v>
      </c>
      <c r="H27" s="1">
        <v>70</v>
      </c>
      <c r="I27" s="1">
        <f t="shared" si="4"/>
        <v>27987</v>
      </c>
      <c r="J27" s="1">
        <v>30</v>
      </c>
      <c r="K27" s="1">
        <f t="shared" si="0"/>
        <v>7725</v>
      </c>
      <c r="L27" s="1">
        <v>0</v>
      </c>
      <c r="M27" s="1">
        <f t="shared" si="1"/>
        <v>20292</v>
      </c>
      <c r="N27" s="1">
        <v>20292</v>
      </c>
      <c r="O27" s="1">
        <f t="shared" si="2"/>
        <v>0</v>
      </c>
    </row>
    <row r="28" spans="1:16" x14ac:dyDescent="0.25">
      <c r="A28" s="2">
        <v>46108</v>
      </c>
      <c r="B28" s="1" t="s">
        <v>19</v>
      </c>
      <c r="C28" s="1">
        <v>38070</v>
      </c>
      <c r="D28" s="1">
        <v>5450</v>
      </c>
      <c r="E28" s="1">
        <v>1850</v>
      </c>
      <c r="F28" s="1">
        <f t="shared" si="3"/>
        <v>30770</v>
      </c>
      <c r="G28" s="1">
        <v>8916</v>
      </c>
      <c r="H28" s="1">
        <v>3570</v>
      </c>
      <c r="I28" s="1">
        <f t="shared" si="4"/>
        <v>38070</v>
      </c>
      <c r="J28" s="1">
        <v>10</v>
      </c>
      <c r="K28" s="1">
        <f t="shared" si="0"/>
        <v>12486</v>
      </c>
      <c r="L28" s="1">
        <v>0</v>
      </c>
      <c r="M28" s="1">
        <f t="shared" si="1"/>
        <v>25594</v>
      </c>
      <c r="N28" s="1">
        <v>22450</v>
      </c>
      <c r="O28" s="1">
        <f t="shared" si="2"/>
        <v>-3144</v>
      </c>
      <c r="P28" s="1" t="s">
        <v>32</v>
      </c>
    </row>
    <row r="29" spans="1:16" x14ac:dyDescent="0.25">
      <c r="A29" s="2">
        <v>46109</v>
      </c>
      <c r="B29" s="1" t="s">
        <v>20</v>
      </c>
      <c r="C29" s="1">
        <v>32305</v>
      </c>
      <c r="D29" s="1">
        <v>4650</v>
      </c>
      <c r="E29" s="1">
        <v>800</v>
      </c>
      <c r="F29" s="1">
        <f t="shared" si="3"/>
        <v>26855</v>
      </c>
      <c r="G29" s="1">
        <v>8921</v>
      </c>
      <c r="H29" s="1">
        <v>745</v>
      </c>
      <c r="I29" s="1">
        <f t="shared" si="4"/>
        <v>32305</v>
      </c>
      <c r="J29" s="1">
        <v>50</v>
      </c>
      <c r="K29" s="1">
        <f t="shared" si="0"/>
        <v>9666</v>
      </c>
      <c r="L29" s="1">
        <v>0</v>
      </c>
      <c r="M29" s="1">
        <f t="shared" si="1"/>
        <v>22689</v>
      </c>
      <c r="N29" s="1">
        <v>22692</v>
      </c>
      <c r="O29" s="1">
        <f t="shared" si="2"/>
        <v>3</v>
      </c>
      <c r="P29" s="1" t="s">
        <v>33</v>
      </c>
    </row>
    <row r="30" spans="1:16" x14ac:dyDescent="0.25">
      <c r="A30" s="2">
        <v>46110</v>
      </c>
      <c r="B30" s="1" t="s">
        <v>21</v>
      </c>
      <c r="C30" s="1">
        <v>21632</v>
      </c>
      <c r="D30" s="1">
        <v>3600</v>
      </c>
      <c r="E30" s="1">
        <v>700</v>
      </c>
      <c r="F30" s="1">
        <f t="shared" si="3"/>
        <v>17332</v>
      </c>
      <c r="G30" s="1">
        <v>8131</v>
      </c>
      <c r="H30" s="1">
        <v>118</v>
      </c>
      <c r="I30" s="1">
        <f t="shared" si="4"/>
        <v>21632</v>
      </c>
      <c r="J30" s="1">
        <v>600</v>
      </c>
      <c r="K30" s="1">
        <f t="shared" si="0"/>
        <v>8249</v>
      </c>
      <c r="L30" s="1">
        <v>0</v>
      </c>
      <c r="M30" s="1">
        <f t="shared" si="1"/>
        <v>13983</v>
      </c>
      <c r="N30" s="1">
        <v>13050</v>
      </c>
      <c r="O30" s="1">
        <f t="shared" si="2"/>
        <v>-933</v>
      </c>
      <c r="P30" s="1" t="s">
        <v>34</v>
      </c>
    </row>
    <row r="31" spans="1:16" x14ac:dyDescent="0.25">
      <c r="A31" s="2">
        <v>46111</v>
      </c>
      <c r="B31" s="1" t="s">
        <v>22</v>
      </c>
      <c r="C31" s="1">
        <v>23866</v>
      </c>
      <c r="D31" s="1">
        <v>4200</v>
      </c>
      <c r="E31" s="1">
        <v>350</v>
      </c>
      <c r="F31" s="1">
        <f t="shared" si="3"/>
        <v>19316</v>
      </c>
      <c r="G31" s="1">
        <v>6559</v>
      </c>
      <c r="H31" s="1">
        <v>316</v>
      </c>
      <c r="I31" s="1">
        <f t="shared" si="4"/>
        <v>23866</v>
      </c>
      <c r="J31" s="1">
        <v>300</v>
      </c>
      <c r="K31" s="1">
        <f t="shared" si="0"/>
        <v>6875</v>
      </c>
      <c r="L31" s="1">
        <v>0</v>
      </c>
      <c r="M31" s="1">
        <f t="shared" si="1"/>
        <v>17291</v>
      </c>
      <c r="N31" s="1">
        <v>16396</v>
      </c>
      <c r="O31" s="1">
        <f t="shared" si="2"/>
        <v>-895</v>
      </c>
      <c r="P31" s="1" t="s">
        <v>35</v>
      </c>
    </row>
    <row r="32" spans="1:16" x14ac:dyDescent="0.25">
      <c r="A32" s="2">
        <v>46112</v>
      </c>
      <c r="B32" s="1" t="s">
        <v>16</v>
      </c>
      <c r="C32" s="1">
        <v>23402</v>
      </c>
      <c r="D32" s="1">
        <v>3450</v>
      </c>
      <c r="E32" s="1">
        <v>50</v>
      </c>
      <c r="F32" s="1">
        <f t="shared" si="3"/>
        <v>19902</v>
      </c>
      <c r="G32" s="1">
        <v>5654</v>
      </c>
      <c r="H32" s="1">
        <v>6168</v>
      </c>
      <c r="I32" s="1">
        <f t="shared" si="4"/>
        <v>23402</v>
      </c>
      <c r="J32" s="1">
        <v>30</v>
      </c>
      <c r="K32" s="1">
        <f t="shared" si="0"/>
        <v>11822</v>
      </c>
      <c r="L32" s="1">
        <v>0</v>
      </c>
      <c r="M32" s="1">
        <f t="shared" si="1"/>
        <v>11610</v>
      </c>
      <c r="N32" s="1">
        <v>10568</v>
      </c>
      <c r="O32" s="1">
        <f t="shared" si="2"/>
        <v>-1042</v>
      </c>
      <c r="P32" s="1" t="s">
        <v>36</v>
      </c>
    </row>
    <row r="37" spans="3:14" x14ac:dyDescent="0.25">
      <c r="C37" s="1">
        <f>SUM(C2:C32)</f>
        <v>813795</v>
      </c>
      <c r="G37" s="1">
        <f>SUM(G2:G32)</f>
        <v>227473</v>
      </c>
      <c r="N37" s="1">
        <f>SUM(N2:N32)</f>
        <v>563278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2026-04-02T06:34:47Z</dcterms:modified>
</cp:coreProperties>
</file>