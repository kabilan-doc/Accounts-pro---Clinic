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:\MONTHY DATE WISE ACCOUNT\COMPLETE MONTHWISE ACCOUNT\"/>
    </mc:Choice>
  </mc:AlternateContent>
  <xr:revisionPtr revIDLastSave="0" documentId="13_ncr:1_{BEC961ED-4C56-431D-9464-34DF8F9CC7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6" i="1" l="1"/>
  <c r="C33" i="1"/>
  <c r="O30" i="1"/>
  <c r="F29" i="1"/>
  <c r="O10" i="1"/>
  <c r="O16" i="1"/>
  <c r="O12" i="1"/>
  <c r="I14" i="1"/>
  <c r="O5" i="1"/>
  <c r="M3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M25" i="1" s="1"/>
  <c r="O25" i="1" s="1"/>
  <c r="K26" i="1"/>
  <c r="K27" i="1"/>
  <c r="K28" i="1"/>
  <c r="K29" i="1"/>
  <c r="K30" i="1"/>
  <c r="K31" i="1"/>
  <c r="I3" i="1"/>
  <c r="I10" i="1"/>
  <c r="I24" i="1"/>
  <c r="I25" i="1"/>
  <c r="I29" i="1"/>
  <c r="F5" i="1"/>
  <c r="I5" i="1" s="1"/>
  <c r="F6" i="1"/>
  <c r="I6" i="1" s="1"/>
  <c r="M6" i="1" s="1"/>
  <c r="O6" i="1" s="1"/>
  <c r="F7" i="1"/>
  <c r="I7" i="1" s="1"/>
  <c r="F8" i="1"/>
  <c r="I8" i="1" s="1"/>
  <c r="M8" i="1" s="1"/>
  <c r="O8" i="1" s="1"/>
  <c r="F9" i="1"/>
  <c r="I9" i="1" s="1"/>
  <c r="F10" i="1"/>
  <c r="F11" i="1"/>
  <c r="I11" i="1" s="1"/>
  <c r="F12" i="1"/>
  <c r="I12" i="1" s="1"/>
  <c r="M12" i="1" s="1"/>
  <c r="F13" i="1"/>
  <c r="I13" i="1" s="1"/>
  <c r="F14" i="1"/>
  <c r="F15" i="1"/>
  <c r="I15" i="1" s="1"/>
  <c r="F16" i="1"/>
  <c r="I16" i="1" s="1"/>
  <c r="M16" i="1" s="1"/>
  <c r="F17" i="1"/>
  <c r="I17" i="1" s="1"/>
  <c r="F18" i="1"/>
  <c r="I18" i="1" s="1"/>
  <c r="F19" i="1"/>
  <c r="I19" i="1" s="1"/>
  <c r="M19" i="1" s="1"/>
  <c r="F20" i="1"/>
  <c r="I20" i="1" s="1"/>
  <c r="F21" i="1"/>
  <c r="I21" i="1" s="1"/>
  <c r="F22" i="1"/>
  <c r="I22" i="1" s="1"/>
  <c r="F23" i="1"/>
  <c r="I23" i="1" s="1"/>
  <c r="F24" i="1"/>
  <c r="F25" i="1"/>
  <c r="F26" i="1"/>
  <c r="I26" i="1" s="1"/>
  <c r="M26" i="1" s="1"/>
  <c r="F27" i="1"/>
  <c r="I27" i="1" s="1"/>
  <c r="F28" i="1"/>
  <c r="I28" i="1" s="1"/>
  <c r="F30" i="1"/>
  <c r="I30" i="1" s="1"/>
  <c r="F31" i="1"/>
  <c r="I31" i="1" s="1"/>
  <c r="F3" i="1"/>
  <c r="F4" i="1"/>
  <c r="I4" i="1" s="1"/>
  <c r="K2" i="1"/>
  <c r="F2" i="1"/>
  <c r="I2" i="1" s="1"/>
  <c r="M31" i="1" l="1"/>
  <c r="M30" i="1"/>
  <c r="M29" i="1"/>
  <c r="O29" i="1" s="1"/>
  <c r="M28" i="1"/>
  <c r="O28" i="1" s="1"/>
  <c r="M27" i="1"/>
  <c r="O27" i="1" s="1"/>
  <c r="M24" i="1"/>
  <c r="O24" i="1" s="1"/>
  <c r="M23" i="1"/>
  <c r="O23" i="1" s="1"/>
  <c r="M22" i="1"/>
  <c r="O22" i="1" s="1"/>
  <c r="M21" i="1"/>
  <c r="O21" i="1" s="1"/>
  <c r="M20" i="1"/>
  <c r="O20" i="1" s="1"/>
  <c r="O19" i="1"/>
  <c r="M18" i="1"/>
  <c r="O18" i="1" s="1"/>
  <c r="M17" i="1"/>
  <c r="O17" i="1" s="1"/>
  <c r="M15" i="1"/>
  <c r="O15" i="1" s="1"/>
  <c r="M14" i="1"/>
  <c r="O14" i="1" s="1"/>
  <c r="M13" i="1"/>
  <c r="O13" i="1" s="1"/>
  <c r="M11" i="1"/>
  <c r="O11" i="1" s="1"/>
  <c r="M10" i="1"/>
  <c r="M9" i="1"/>
  <c r="O9" i="1" s="1"/>
  <c r="M7" i="1"/>
  <c r="O7" i="1" s="1"/>
  <c r="M4" i="1"/>
  <c r="O4" i="1" s="1"/>
  <c r="M5" i="1"/>
  <c r="M2" i="1"/>
  <c r="O2" i="1" s="1"/>
  <c r="O3" i="1"/>
</calcChain>
</file>

<file path=xl/sharedStrings.xml><?xml version="1.0" encoding="utf-8"?>
<sst xmlns="http://schemas.openxmlformats.org/spreadsheetml/2006/main" count="60" uniqueCount="37">
  <si>
    <t>DATE</t>
  </si>
  <si>
    <t>DAY</t>
  </si>
  <si>
    <t>TOTAL SALESAMOUNT IN COMPUTER</t>
  </si>
  <si>
    <t>TOTAL OP CHARGES</t>
  </si>
  <si>
    <t>INJECTION</t>
  </si>
  <si>
    <t>TOTAL MEDICINE SALES</t>
  </si>
  <si>
    <t>GPAY</t>
  </si>
  <si>
    <t>EXPENSE</t>
  </si>
  <si>
    <t>TOTAL</t>
  </si>
  <si>
    <t>GPAY &amp; EXPENSE</t>
  </si>
  <si>
    <t>TOTAL CASH</t>
  </si>
  <si>
    <t>TOTAL CASH GIVEN</t>
  </si>
  <si>
    <t>EXCESS/DEFECIT</t>
  </si>
  <si>
    <t>NOTES</t>
  </si>
  <si>
    <t>Extra</t>
  </si>
  <si>
    <t>EXTRA CHARGE</t>
  </si>
  <si>
    <t>TUESDAY</t>
  </si>
  <si>
    <t>WEDNESDAY</t>
  </si>
  <si>
    <t>THURSDAY</t>
  </si>
  <si>
    <t>FRIDAY</t>
  </si>
  <si>
    <t>SATURDAY</t>
  </si>
  <si>
    <t>SUNDAY</t>
  </si>
  <si>
    <t>MONDAY</t>
  </si>
  <si>
    <t>RETURN</t>
  </si>
  <si>
    <t>RBS-150</t>
  </si>
  <si>
    <t>rbs 50</t>
  </si>
  <si>
    <t>Due-426</t>
  </si>
  <si>
    <t>KALAVATHI 50</t>
  </si>
  <si>
    <t>18 excess,rbs 2</t>
  </si>
  <si>
    <t>89 varsha</t>
  </si>
  <si>
    <t>Due-1212 lalitha</t>
  </si>
  <si>
    <t>due-3744,101,chithra-6</t>
  </si>
  <si>
    <t>568 nageshwari,28 shanthi</t>
  </si>
  <si>
    <t>s</t>
  </si>
  <si>
    <t>sotta 14</t>
  </si>
  <si>
    <t>22 DEFICIT</t>
  </si>
  <si>
    <t>80 karupayi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</si>
</sst>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2" borderId="1" xfId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tabSelected="1" zoomScale="90" zoomScaleNormal="90" workbookViewId="0">
      <selection activeCell="O38" sqref="O38"/>
    </sheetView>
  </sheetViews>
  <sheetFormatPr defaultRowHeight="15" x14ac:dyDescent="0.25"/>
  <cols>
    <col min="1" max="1" width="17.5703125" style="1" bestFit="1" customWidth="1"/>
    <col min="2" max="2" width="11.42578125" style="1" bestFit="1" customWidth="1"/>
    <col min="3" max="3" width="33.85546875" style="1" bestFit="1" customWidth="1"/>
    <col min="4" max="4" width="18.42578125" style="1" bestFit="1" customWidth="1"/>
    <col min="5" max="5" width="10.28515625" style="1" bestFit="1" customWidth="1"/>
    <col min="6" max="6" width="21.7109375" style="1" bestFit="1" customWidth="1"/>
    <col min="7" max="7" width="6.7109375" style="1" bestFit="1" customWidth="1"/>
    <col min="8" max="8" width="8.7109375" style="1" bestFit="1" customWidth="1"/>
    <col min="9" max="9" width="9.28515625" style="1" customWidth="1"/>
    <col min="10" max="10" width="18.42578125" style="1" customWidth="1"/>
    <col min="11" max="11" width="15.85546875" style="1" bestFit="1" customWidth="1"/>
    <col min="12" max="12" width="18.42578125" style="1" customWidth="1"/>
    <col min="13" max="13" width="11.7109375" style="1" bestFit="1" customWidth="1"/>
    <col min="14" max="14" width="18" style="1" bestFit="1" customWidth="1"/>
    <col min="15" max="15" width="15.28515625" style="1" bestFit="1" customWidth="1"/>
    <col min="16" max="16" width="26.5703125" style="1" customWidth="1"/>
    <col min="17" max="17" width="40.28515625" style="1" bestFit="1" customWidth="1"/>
    <col min="18" max="16384" width="9.140625" style="1"/>
  </cols>
  <sheetData>
    <row r="1" spans="1:17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15</v>
      </c>
      <c r="K1" s="3" t="s">
        <v>9</v>
      </c>
      <c r="L1" s="3" t="s">
        <v>23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</row>
    <row r="2" spans="1:17" x14ac:dyDescent="0.25">
      <c r="A2" s="2">
        <v>45962</v>
      </c>
      <c r="B2" s="1" t="s">
        <v>20</v>
      </c>
      <c r="C2" s="1">
        <v>32538</v>
      </c>
      <c r="D2" s="1">
        <v>6600</v>
      </c>
      <c r="E2" s="1">
        <v>650</v>
      </c>
      <c r="F2" s="1">
        <f>SUM(C2-D2-E2)</f>
        <v>25288</v>
      </c>
      <c r="G2" s="1">
        <v>7500</v>
      </c>
      <c r="H2" s="1">
        <v>299</v>
      </c>
      <c r="I2" s="1">
        <f>SUM(D2,E2,F2)</f>
        <v>32538</v>
      </c>
      <c r="J2" s="1">
        <v>700</v>
      </c>
      <c r="K2" s="1">
        <f>SUM(G2,H2)</f>
        <v>7799</v>
      </c>
      <c r="L2" s="1">
        <v>92</v>
      </c>
      <c r="M2" s="1">
        <f>SUM(I2,J2-K2-L2)</f>
        <v>25347</v>
      </c>
      <c r="N2" s="1">
        <v>25348</v>
      </c>
      <c r="O2" s="1">
        <f>SUM(N2-M2)</f>
        <v>1</v>
      </c>
      <c r="Q2" s="1" t="s">
        <v>24</v>
      </c>
    </row>
    <row r="3" spans="1:17" x14ac:dyDescent="0.25">
      <c r="A3" s="2">
        <v>45963</v>
      </c>
      <c r="B3" s="1" t="s">
        <v>21</v>
      </c>
      <c r="C3" s="1">
        <v>25626</v>
      </c>
      <c r="D3" s="1">
        <v>4650</v>
      </c>
      <c r="E3" s="1">
        <v>300</v>
      </c>
      <c r="F3" s="1">
        <f t="shared" ref="F3:F31" si="0">SUM(C3-D3-E3)</f>
        <v>20676</v>
      </c>
      <c r="G3" s="1">
        <v>7409</v>
      </c>
      <c r="H3" s="1">
        <v>0</v>
      </c>
      <c r="I3" s="1">
        <f t="shared" ref="I3:I31" si="1">SUM(D3,E3,F3)</f>
        <v>25626</v>
      </c>
      <c r="J3" s="1">
        <v>50</v>
      </c>
      <c r="K3" s="1">
        <f t="shared" ref="K3:K31" si="2">SUM(G3,H3)</f>
        <v>7409</v>
      </c>
      <c r="L3" s="1">
        <v>173</v>
      </c>
      <c r="M3" s="1">
        <f t="shared" ref="M3:M31" si="3">SUM(I3,J3-K3-L3)</f>
        <v>18094</v>
      </c>
      <c r="N3" s="1">
        <v>18080</v>
      </c>
      <c r="O3" s="1">
        <f>SUM(N3-M3)</f>
        <v>-14</v>
      </c>
      <c r="P3" s="1" t="s">
        <v>34</v>
      </c>
      <c r="Q3" s="1" t="s">
        <v>25</v>
      </c>
    </row>
    <row r="4" spans="1:17" x14ac:dyDescent="0.25">
      <c r="A4" s="2">
        <v>45964</v>
      </c>
      <c r="B4" s="1" t="s">
        <v>22</v>
      </c>
      <c r="C4" s="1">
        <v>35194</v>
      </c>
      <c r="D4" s="1">
        <v>6600</v>
      </c>
      <c r="E4" s="1">
        <v>1000</v>
      </c>
      <c r="F4" s="1">
        <f t="shared" si="0"/>
        <v>27594</v>
      </c>
      <c r="G4" s="1">
        <v>9588</v>
      </c>
      <c r="H4" s="1">
        <v>110</v>
      </c>
      <c r="I4" s="1">
        <f t="shared" si="1"/>
        <v>35194</v>
      </c>
      <c r="J4" s="1">
        <v>550</v>
      </c>
      <c r="K4" s="1">
        <f t="shared" si="2"/>
        <v>9698</v>
      </c>
      <c r="L4" s="1">
        <v>0</v>
      </c>
      <c r="M4" s="1">
        <f t="shared" si="3"/>
        <v>26046</v>
      </c>
      <c r="N4" s="1">
        <v>26052</v>
      </c>
      <c r="O4" s="1">
        <f t="shared" ref="O4:O29" si="4">SUM(N4-M4)</f>
        <v>6</v>
      </c>
      <c r="Q4" s="1">
        <v>50</v>
      </c>
    </row>
    <row r="5" spans="1:17" x14ac:dyDescent="0.25">
      <c r="A5" s="2">
        <v>45965</v>
      </c>
      <c r="B5" s="1" t="s">
        <v>16</v>
      </c>
      <c r="C5" s="1">
        <v>32675</v>
      </c>
      <c r="D5" s="1">
        <v>5550</v>
      </c>
      <c r="E5" s="1">
        <v>550</v>
      </c>
      <c r="F5" s="1">
        <f t="shared" si="0"/>
        <v>26575</v>
      </c>
      <c r="G5" s="1">
        <v>10568</v>
      </c>
      <c r="H5" s="1">
        <v>10</v>
      </c>
      <c r="I5" s="1">
        <f t="shared" si="1"/>
        <v>32675</v>
      </c>
      <c r="J5" s="1">
        <v>300</v>
      </c>
      <c r="K5" s="1">
        <f t="shared" si="2"/>
        <v>10578</v>
      </c>
      <c r="L5" s="1">
        <v>300</v>
      </c>
      <c r="M5" s="1">
        <f t="shared" si="3"/>
        <v>22097</v>
      </c>
      <c r="N5" s="1">
        <v>22050</v>
      </c>
      <c r="O5" s="1">
        <f t="shared" si="4"/>
        <v>-47</v>
      </c>
      <c r="Q5" s="1">
        <v>100</v>
      </c>
    </row>
    <row r="6" spans="1:17" x14ac:dyDescent="0.25">
      <c r="A6" s="2">
        <v>45966</v>
      </c>
      <c r="B6" s="1" t="s">
        <v>17</v>
      </c>
      <c r="C6" s="1">
        <v>29719</v>
      </c>
      <c r="D6" s="1">
        <v>5550</v>
      </c>
      <c r="E6" s="1">
        <v>800</v>
      </c>
      <c r="F6" s="1">
        <f t="shared" si="0"/>
        <v>23369</v>
      </c>
      <c r="G6" s="1">
        <v>8052</v>
      </c>
      <c r="H6" s="1">
        <v>310</v>
      </c>
      <c r="I6" s="1">
        <f t="shared" si="1"/>
        <v>29719</v>
      </c>
      <c r="J6" s="1">
        <v>475</v>
      </c>
      <c r="K6" s="1">
        <f t="shared" si="2"/>
        <v>8362</v>
      </c>
      <c r="L6" s="1">
        <v>0</v>
      </c>
      <c r="M6" s="1">
        <f t="shared" si="3"/>
        <v>21832</v>
      </c>
      <c r="N6" s="1">
        <v>21822</v>
      </c>
      <c r="O6" s="1">
        <f t="shared" si="4"/>
        <v>-10</v>
      </c>
    </row>
    <row r="7" spans="1:17" customFormat="1" x14ac:dyDescent="0.25">
      <c r="A7" s="2">
        <v>45967</v>
      </c>
      <c r="B7" t="s">
        <v>18</v>
      </c>
      <c r="C7" s="1">
        <v>24730</v>
      </c>
      <c r="D7" s="1">
        <v>4050</v>
      </c>
      <c r="E7" s="1">
        <v>350</v>
      </c>
      <c r="F7" s="1">
        <f t="shared" si="0"/>
        <v>20330</v>
      </c>
      <c r="G7" s="1">
        <v>6412</v>
      </c>
      <c r="H7" s="1">
        <v>5</v>
      </c>
      <c r="I7" s="1">
        <f t="shared" si="1"/>
        <v>24730</v>
      </c>
      <c r="J7" s="1">
        <v>750</v>
      </c>
      <c r="K7" s="1">
        <f t="shared" si="2"/>
        <v>6417</v>
      </c>
      <c r="L7" s="1">
        <v>0</v>
      </c>
      <c r="M7" s="1">
        <f t="shared" si="3"/>
        <v>19063</v>
      </c>
      <c r="N7" s="1">
        <v>19057</v>
      </c>
      <c r="O7" s="1">
        <f t="shared" si="4"/>
        <v>-6</v>
      </c>
      <c r="P7" s="1"/>
      <c r="Q7" s="4">
        <v>100</v>
      </c>
    </row>
    <row r="8" spans="1:17" x14ac:dyDescent="0.25">
      <c r="A8" s="2">
        <v>45968</v>
      </c>
      <c r="B8" s="1" t="s">
        <v>19</v>
      </c>
      <c r="C8" s="1">
        <v>22031</v>
      </c>
      <c r="D8" s="1">
        <v>4200</v>
      </c>
      <c r="E8" s="1">
        <v>750</v>
      </c>
      <c r="F8" s="1">
        <f t="shared" si="0"/>
        <v>17081</v>
      </c>
      <c r="G8" s="1">
        <v>6403</v>
      </c>
      <c r="H8" s="1">
        <v>475</v>
      </c>
      <c r="I8" s="1">
        <f t="shared" si="1"/>
        <v>22031</v>
      </c>
      <c r="J8" s="1">
        <v>280</v>
      </c>
      <c r="K8" s="1">
        <f t="shared" si="2"/>
        <v>6878</v>
      </c>
      <c r="L8" s="1">
        <v>0</v>
      </c>
      <c r="M8" s="1">
        <f t="shared" si="3"/>
        <v>15433</v>
      </c>
      <c r="N8" s="1">
        <v>15010</v>
      </c>
      <c r="O8" s="1">
        <f t="shared" si="4"/>
        <v>-423</v>
      </c>
      <c r="P8" s="1" t="s">
        <v>26</v>
      </c>
      <c r="Q8" s="1">
        <v>100</v>
      </c>
    </row>
    <row r="9" spans="1:17" customFormat="1" x14ac:dyDescent="0.25">
      <c r="A9" s="2">
        <v>45969</v>
      </c>
      <c r="B9" s="1" t="s">
        <v>20</v>
      </c>
      <c r="C9" s="1">
        <v>31204</v>
      </c>
      <c r="D9" s="1">
        <v>6650</v>
      </c>
      <c r="E9" s="1">
        <v>500</v>
      </c>
      <c r="F9" s="1">
        <f t="shared" si="0"/>
        <v>24054</v>
      </c>
      <c r="G9" s="1">
        <v>6512</v>
      </c>
      <c r="H9" s="1">
        <v>486</v>
      </c>
      <c r="I9" s="1">
        <f t="shared" si="1"/>
        <v>31204</v>
      </c>
      <c r="J9" s="1">
        <v>550</v>
      </c>
      <c r="K9" s="1">
        <f t="shared" si="2"/>
        <v>6998</v>
      </c>
      <c r="L9" s="1">
        <v>0</v>
      </c>
      <c r="M9" s="1">
        <f t="shared" si="3"/>
        <v>24756</v>
      </c>
      <c r="N9" s="1">
        <v>24758</v>
      </c>
      <c r="O9" s="1">
        <f t="shared" si="4"/>
        <v>2</v>
      </c>
      <c r="P9" s="1"/>
      <c r="Q9" s="1">
        <v>150</v>
      </c>
    </row>
    <row r="10" spans="1:17" x14ac:dyDescent="0.25">
      <c r="A10" s="2">
        <v>45970</v>
      </c>
      <c r="B10" s="1" t="s">
        <v>21</v>
      </c>
      <c r="C10" s="1">
        <v>23277</v>
      </c>
      <c r="D10" s="1">
        <v>4350</v>
      </c>
      <c r="E10" s="1">
        <v>550</v>
      </c>
      <c r="F10" s="1">
        <f t="shared" si="0"/>
        <v>18377</v>
      </c>
      <c r="G10" s="1">
        <v>7064</v>
      </c>
      <c r="H10" s="1">
        <v>2167</v>
      </c>
      <c r="I10" s="1">
        <f t="shared" si="1"/>
        <v>23277</v>
      </c>
      <c r="J10" s="1">
        <v>450</v>
      </c>
      <c r="K10" s="1">
        <f t="shared" si="2"/>
        <v>9231</v>
      </c>
      <c r="L10" s="1">
        <v>0</v>
      </c>
      <c r="M10" s="1">
        <f t="shared" si="3"/>
        <v>14496</v>
      </c>
      <c r="N10" s="1">
        <v>14500</v>
      </c>
      <c r="O10" s="1">
        <f>SUM(N10-M10)</f>
        <v>4</v>
      </c>
    </row>
    <row r="11" spans="1:17" x14ac:dyDescent="0.25">
      <c r="A11" s="2">
        <v>45971</v>
      </c>
      <c r="B11" s="1" t="s">
        <v>22</v>
      </c>
      <c r="C11" s="1">
        <v>32630</v>
      </c>
      <c r="D11" s="1">
        <v>6300</v>
      </c>
      <c r="E11" s="1">
        <v>558</v>
      </c>
      <c r="F11" s="1">
        <f t="shared" si="0"/>
        <v>25772</v>
      </c>
      <c r="G11" s="1">
        <v>9024</v>
      </c>
      <c r="H11" s="1">
        <v>441</v>
      </c>
      <c r="I11" s="1">
        <f t="shared" si="1"/>
        <v>32630</v>
      </c>
      <c r="J11" s="1">
        <v>430</v>
      </c>
      <c r="K11" s="1">
        <f t="shared" si="2"/>
        <v>9465</v>
      </c>
      <c r="L11" s="1">
        <v>0</v>
      </c>
      <c r="M11" s="1">
        <f t="shared" si="3"/>
        <v>23595</v>
      </c>
      <c r="N11" s="1">
        <v>23602</v>
      </c>
      <c r="O11" s="1">
        <f>SUM(N11-M11)</f>
        <v>7</v>
      </c>
    </row>
    <row r="12" spans="1:17" x14ac:dyDescent="0.25">
      <c r="A12" s="2">
        <v>45972</v>
      </c>
      <c r="B12" s="1" t="s">
        <v>16</v>
      </c>
      <c r="C12" s="1">
        <v>26239</v>
      </c>
      <c r="D12" s="1">
        <v>5550</v>
      </c>
      <c r="E12" s="1">
        <v>700</v>
      </c>
      <c r="F12" s="1">
        <f t="shared" si="0"/>
        <v>19989</v>
      </c>
      <c r="G12" s="1">
        <v>7456</v>
      </c>
      <c r="H12" s="1">
        <v>192</v>
      </c>
      <c r="I12" s="1">
        <f t="shared" si="1"/>
        <v>26239</v>
      </c>
      <c r="J12" s="1">
        <v>1200</v>
      </c>
      <c r="K12" s="1">
        <f t="shared" si="2"/>
        <v>7648</v>
      </c>
      <c r="L12" s="1">
        <v>0</v>
      </c>
      <c r="M12" s="1">
        <f t="shared" si="3"/>
        <v>19791</v>
      </c>
      <c r="N12" s="1">
        <v>19741</v>
      </c>
      <c r="O12" s="1">
        <f>SUM(N12-M12)</f>
        <v>-50</v>
      </c>
      <c r="P12" s="1" t="s">
        <v>27</v>
      </c>
    </row>
    <row r="13" spans="1:17" x14ac:dyDescent="0.25">
      <c r="A13" s="2">
        <v>45973</v>
      </c>
      <c r="B13" s="1" t="s">
        <v>17</v>
      </c>
      <c r="C13" s="1">
        <v>24448</v>
      </c>
      <c r="D13" s="1">
        <v>4050</v>
      </c>
      <c r="E13" s="1">
        <v>500</v>
      </c>
      <c r="F13" s="1">
        <f t="shared" si="0"/>
        <v>19898</v>
      </c>
      <c r="G13" s="1">
        <v>6069</v>
      </c>
      <c r="H13" s="1">
        <v>6889</v>
      </c>
      <c r="I13" s="1">
        <f t="shared" si="1"/>
        <v>24448</v>
      </c>
      <c r="J13" s="1">
        <v>540</v>
      </c>
      <c r="K13" s="1">
        <f t="shared" si="2"/>
        <v>12958</v>
      </c>
      <c r="L13" s="1">
        <v>0</v>
      </c>
      <c r="M13" s="1">
        <f t="shared" si="3"/>
        <v>12030</v>
      </c>
      <c r="N13" s="1">
        <v>11965</v>
      </c>
      <c r="O13" s="1">
        <f t="shared" si="4"/>
        <v>-65</v>
      </c>
      <c r="P13" s="1" t="s">
        <v>29</v>
      </c>
    </row>
    <row r="14" spans="1:17" customFormat="1" x14ac:dyDescent="0.25">
      <c r="A14" s="2">
        <v>45974</v>
      </c>
      <c r="B14" t="s">
        <v>18</v>
      </c>
      <c r="C14" s="1">
        <v>30928</v>
      </c>
      <c r="D14" s="1">
        <v>6350</v>
      </c>
      <c r="E14" s="1">
        <v>650</v>
      </c>
      <c r="F14" s="1">
        <f t="shared" si="0"/>
        <v>23928</v>
      </c>
      <c r="G14" s="1">
        <v>10746</v>
      </c>
      <c r="H14" s="1">
        <v>675</v>
      </c>
      <c r="I14" s="1">
        <f t="shared" si="1"/>
        <v>30928</v>
      </c>
      <c r="J14" s="1">
        <v>50</v>
      </c>
      <c r="K14" s="1">
        <f t="shared" si="2"/>
        <v>11421</v>
      </c>
      <c r="L14" s="1">
        <v>0</v>
      </c>
      <c r="M14" s="1">
        <f t="shared" si="3"/>
        <v>19557</v>
      </c>
      <c r="N14" s="1">
        <v>19560</v>
      </c>
      <c r="O14" s="1">
        <f t="shared" si="4"/>
        <v>3</v>
      </c>
      <c r="P14" s="1"/>
    </row>
    <row r="15" spans="1:17" x14ac:dyDescent="0.25">
      <c r="A15" s="2">
        <v>45975</v>
      </c>
      <c r="B15" s="1" t="s">
        <v>19</v>
      </c>
      <c r="C15" s="1">
        <v>28275</v>
      </c>
      <c r="D15" s="1">
        <v>4950</v>
      </c>
      <c r="E15" s="1">
        <v>450</v>
      </c>
      <c r="F15" s="1">
        <f t="shared" si="0"/>
        <v>22875</v>
      </c>
      <c r="G15" s="1">
        <v>4971</v>
      </c>
      <c r="H15" s="1">
        <v>209</v>
      </c>
      <c r="I15" s="1">
        <f t="shared" si="1"/>
        <v>28275</v>
      </c>
      <c r="J15" s="1">
        <v>150</v>
      </c>
      <c r="K15" s="1">
        <f t="shared" si="2"/>
        <v>5180</v>
      </c>
      <c r="L15" s="1">
        <v>73</v>
      </c>
      <c r="M15" s="1">
        <f t="shared" si="3"/>
        <v>23172</v>
      </c>
      <c r="N15" s="1">
        <v>23190</v>
      </c>
      <c r="O15" s="1">
        <f t="shared" si="4"/>
        <v>18</v>
      </c>
      <c r="Q15" s="1" t="s">
        <v>28</v>
      </c>
    </row>
    <row r="16" spans="1:17" customFormat="1" x14ac:dyDescent="0.25">
      <c r="A16" s="2">
        <v>45976</v>
      </c>
      <c r="B16" s="1" t="s">
        <v>20</v>
      </c>
      <c r="C16" s="1">
        <v>30664</v>
      </c>
      <c r="D16" s="1">
        <v>5700</v>
      </c>
      <c r="E16" s="1">
        <v>500</v>
      </c>
      <c r="F16" s="1">
        <f t="shared" si="0"/>
        <v>24464</v>
      </c>
      <c r="G16" s="1">
        <v>3666</v>
      </c>
      <c r="H16" s="1">
        <v>1220</v>
      </c>
      <c r="I16" s="1">
        <f t="shared" si="1"/>
        <v>30664</v>
      </c>
      <c r="J16" s="1">
        <v>370</v>
      </c>
      <c r="K16" s="1">
        <f t="shared" si="2"/>
        <v>4886</v>
      </c>
      <c r="L16" s="1">
        <v>0</v>
      </c>
      <c r="M16" s="1">
        <f t="shared" si="3"/>
        <v>26148</v>
      </c>
      <c r="N16" s="1">
        <v>24936</v>
      </c>
      <c r="O16" s="1">
        <f>SUM(N16-M16)</f>
        <v>-1212</v>
      </c>
      <c r="P16" s="1" t="s">
        <v>30</v>
      </c>
    </row>
    <row r="17" spans="1:16" x14ac:dyDescent="0.25">
      <c r="A17" s="2">
        <v>45977</v>
      </c>
      <c r="B17" s="1" t="s">
        <v>21</v>
      </c>
      <c r="C17" s="1">
        <v>19829</v>
      </c>
      <c r="D17" s="1">
        <v>4050</v>
      </c>
      <c r="E17" s="1">
        <v>500</v>
      </c>
      <c r="F17" s="1">
        <f t="shared" si="0"/>
        <v>15279</v>
      </c>
      <c r="G17" s="1">
        <v>5214</v>
      </c>
      <c r="H17" s="1">
        <v>0</v>
      </c>
      <c r="I17" s="1">
        <f t="shared" si="1"/>
        <v>19829</v>
      </c>
      <c r="J17" s="1">
        <v>150</v>
      </c>
      <c r="K17" s="1">
        <f t="shared" si="2"/>
        <v>5214</v>
      </c>
      <c r="L17" s="1">
        <v>297</v>
      </c>
      <c r="M17" s="1">
        <f t="shared" si="3"/>
        <v>14468</v>
      </c>
      <c r="N17" s="1">
        <v>14466</v>
      </c>
      <c r="O17" s="1">
        <f t="shared" si="4"/>
        <v>-2</v>
      </c>
    </row>
    <row r="18" spans="1:16" x14ac:dyDescent="0.25">
      <c r="A18" s="2">
        <v>45978</v>
      </c>
      <c r="B18" s="1" t="s">
        <v>22</v>
      </c>
      <c r="C18" s="1">
        <v>19205</v>
      </c>
      <c r="D18" s="1">
        <v>3300</v>
      </c>
      <c r="E18" s="1">
        <v>900</v>
      </c>
      <c r="F18" s="1">
        <f t="shared" si="0"/>
        <v>15005</v>
      </c>
      <c r="G18" s="1">
        <v>4300</v>
      </c>
      <c r="H18" s="1">
        <v>243</v>
      </c>
      <c r="I18" s="1">
        <f t="shared" si="1"/>
        <v>19205</v>
      </c>
      <c r="J18" s="1">
        <v>190</v>
      </c>
      <c r="K18" s="1">
        <f t="shared" si="2"/>
        <v>4543</v>
      </c>
      <c r="L18" s="1">
        <v>73</v>
      </c>
      <c r="M18" s="1">
        <f t="shared" si="3"/>
        <v>14779</v>
      </c>
      <c r="N18" s="1">
        <v>14801</v>
      </c>
      <c r="O18" s="1">
        <f t="shared" si="4"/>
        <v>22</v>
      </c>
    </row>
    <row r="19" spans="1:16" x14ac:dyDescent="0.25">
      <c r="A19" s="2">
        <v>45979</v>
      </c>
      <c r="B19" s="1" t="s">
        <v>16</v>
      </c>
      <c r="C19" s="1">
        <v>20609</v>
      </c>
      <c r="D19" s="1">
        <v>2250</v>
      </c>
      <c r="E19" s="1">
        <v>500</v>
      </c>
      <c r="F19" s="1">
        <f t="shared" si="0"/>
        <v>17859</v>
      </c>
      <c r="G19" s="1">
        <v>4649</v>
      </c>
      <c r="H19" s="1">
        <v>1224</v>
      </c>
      <c r="I19" s="1">
        <f t="shared" si="1"/>
        <v>20609</v>
      </c>
      <c r="J19" s="1">
        <v>100</v>
      </c>
      <c r="K19" s="1">
        <f t="shared" si="2"/>
        <v>5873</v>
      </c>
      <c r="L19" s="1">
        <v>0</v>
      </c>
      <c r="M19" s="1">
        <f t="shared" si="3"/>
        <v>14836</v>
      </c>
      <c r="N19" s="1">
        <v>14730</v>
      </c>
      <c r="O19" s="1">
        <f t="shared" si="4"/>
        <v>-106</v>
      </c>
    </row>
    <row r="20" spans="1:16" x14ac:dyDescent="0.25">
      <c r="A20" s="2">
        <v>45980</v>
      </c>
      <c r="B20" s="1" t="s">
        <v>17</v>
      </c>
      <c r="C20" s="1">
        <v>28606</v>
      </c>
      <c r="D20" s="1">
        <v>3900</v>
      </c>
      <c r="E20" s="1">
        <v>600</v>
      </c>
      <c r="F20" s="1">
        <f t="shared" si="0"/>
        <v>24106</v>
      </c>
      <c r="G20" s="1">
        <v>8889</v>
      </c>
      <c r="H20" s="1">
        <v>567</v>
      </c>
      <c r="I20" s="1">
        <f t="shared" si="1"/>
        <v>28606</v>
      </c>
      <c r="J20" s="1">
        <v>500</v>
      </c>
      <c r="K20" s="1">
        <f t="shared" si="2"/>
        <v>9456</v>
      </c>
      <c r="L20" s="1">
        <v>0</v>
      </c>
      <c r="M20" s="1">
        <f t="shared" si="3"/>
        <v>19650</v>
      </c>
      <c r="N20" s="1">
        <v>19628</v>
      </c>
      <c r="O20" s="1">
        <f t="shared" si="4"/>
        <v>-22</v>
      </c>
      <c r="P20" s="1" t="s">
        <v>35</v>
      </c>
    </row>
    <row r="21" spans="1:16" customFormat="1" x14ac:dyDescent="0.25">
      <c r="A21" s="2">
        <v>45981</v>
      </c>
      <c r="B21" t="s">
        <v>18</v>
      </c>
      <c r="C21" s="1">
        <v>29621</v>
      </c>
      <c r="D21" s="1">
        <v>5000</v>
      </c>
      <c r="E21" s="1">
        <v>636</v>
      </c>
      <c r="F21" s="1">
        <f t="shared" si="0"/>
        <v>23985</v>
      </c>
      <c r="G21" s="1">
        <v>5222</v>
      </c>
      <c r="H21" s="1">
        <v>325</v>
      </c>
      <c r="I21" s="1">
        <f t="shared" si="1"/>
        <v>29621</v>
      </c>
      <c r="J21" s="1">
        <v>250</v>
      </c>
      <c r="K21" s="1">
        <f t="shared" si="2"/>
        <v>5547</v>
      </c>
      <c r="L21" s="1">
        <v>0</v>
      </c>
      <c r="M21" s="1">
        <f t="shared" si="3"/>
        <v>24324</v>
      </c>
      <c r="N21" s="1">
        <v>20677</v>
      </c>
      <c r="O21" s="1">
        <f t="shared" si="4"/>
        <v>-3647</v>
      </c>
      <c r="P21" s="1" t="s">
        <v>31</v>
      </c>
    </row>
    <row r="22" spans="1:16" x14ac:dyDescent="0.25">
      <c r="A22" s="2">
        <v>45982</v>
      </c>
      <c r="B22" s="1" t="s">
        <v>19</v>
      </c>
      <c r="C22" s="1">
        <v>22847</v>
      </c>
      <c r="D22" s="1">
        <v>4200</v>
      </c>
      <c r="E22" s="1">
        <v>650</v>
      </c>
      <c r="F22" s="1">
        <f t="shared" si="0"/>
        <v>17997</v>
      </c>
      <c r="G22" s="1">
        <v>3388</v>
      </c>
      <c r="H22" s="1">
        <v>489</v>
      </c>
      <c r="I22" s="1">
        <f t="shared" si="1"/>
        <v>22847</v>
      </c>
      <c r="J22" s="1">
        <v>100</v>
      </c>
      <c r="K22" s="1">
        <f t="shared" si="2"/>
        <v>3877</v>
      </c>
      <c r="L22" s="1">
        <v>642</v>
      </c>
      <c r="M22" s="1">
        <f t="shared" si="3"/>
        <v>18428</v>
      </c>
      <c r="N22" s="1">
        <v>18430</v>
      </c>
      <c r="O22" s="1">
        <f t="shared" si="4"/>
        <v>2</v>
      </c>
    </row>
    <row r="23" spans="1:16" customFormat="1" x14ac:dyDescent="0.25">
      <c r="A23" s="2">
        <v>45983</v>
      </c>
      <c r="B23" s="1" t="s">
        <v>20</v>
      </c>
      <c r="C23" s="1">
        <v>16590</v>
      </c>
      <c r="D23" s="1">
        <v>2250</v>
      </c>
      <c r="E23" s="1">
        <v>400</v>
      </c>
      <c r="F23" s="1">
        <f t="shared" si="0"/>
        <v>13940</v>
      </c>
      <c r="G23" s="1">
        <v>808</v>
      </c>
      <c r="H23" s="1">
        <v>39</v>
      </c>
      <c r="I23" s="1">
        <f t="shared" si="1"/>
        <v>16590</v>
      </c>
      <c r="J23" s="1">
        <v>50</v>
      </c>
      <c r="K23" s="1">
        <f t="shared" si="2"/>
        <v>847</v>
      </c>
      <c r="L23" s="1">
        <v>0</v>
      </c>
      <c r="M23" s="1">
        <f t="shared" si="3"/>
        <v>15793</v>
      </c>
      <c r="N23" s="1">
        <v>15791</v>
      </c>
      <c r="O23" s="1">
        <f t="shared" si="4"/>
        <v>-2</v>
      </c>
      <c r="P23" s="1"/>
    </row>
    <row r="24" spans="1:16" x14ac:dyDescent="0.25">
      <c r="A24" s="2">
        <v>45984</v>
      </c>
      <c r="B24" s="1" t="s">
        <v>21</v>
      </c>
      <c r="C24" s="1">
        <v>13203</v>
      </c>
      <c r="D24" s="1">
        <v>2850</v>
      </c>
      <c r="E24" s="1">
        <v>450</v>
      </c>
      <c r="F24" s="1">
        <f t="shared" si="0"/>
        <v>9903</v>
      </c>
      <c r="G24" s="1">
        <v>2458</v>
      </c>
      <c r="H24" s="1">
        <v>140</v>
      </c>
      <c r="I24" s="1">
        <f t="shared" si="1"/>
        <v>13203</v>
      </c>
      <c r="J24" s="1">
        <v>100</v>
      </c>
      <c r="K24" s="1">
        <f t="shared" si="2"/>
        <v>2598</v>
      </c>
      <c r="L24" s="1">
        <v>0</v>
      </c>
      <c r="M24" s="1">
        <f t="shared" si="3"/>
        <v>10705</v>
      </c>
      <c r="N24" s="1">
        <v>10705</v>
      </c>
      <c r="O24" s="1">
        <f t="shared" si="4"/>
        <v>0</v>
      </c>
    </row>
    <row r="25" spans="1:16" x14ac:dyDescent="0.25">
      <c r="A25" s="2">
        <v>45985</v>
      </c>
      <c r="B25" s="1" t="s">
        <v>22</v>
      </c>
      <c r="C25" s="1">
        <v>25562</v>
      </c>
      <c r="D25" s="1">
        <v>4050</v>
      </c>
      <c r="E25" s="1">
        <v>700</v>
      </c>
      <c r="F25" s="1">
        <f t="shared" si="0"/>
        <v>20812</v>
      </c>
      <c r="G25" s="1">
        <v>7202</v>
      </c>
      <c r="H25" s="1">
        <v>105</v>
      </c>
      <c r="I25" s="1">
        <f t="shared" si="1"/>
        <v>25562</v>
      </c>
      <c r="J25" s="1">
        <v>30</v>
      </c>
      <c r="K25" s="1">
        <f t="shared" si="2"/>
        <v>7307</v>
      </c>
      <c r="L25" s="1">
        <v>112</v>
      </c>
      <c r="M25" s="1">
        <f t="shared" si="3"/>
        <v>18173</v>
      </c>
      <c r="N25" s="1">
        <v>18172</v>
      </c>
      <c r="O25" s="1">
        <f t="shared" si="4"/>
        <v>-1</v>
      </c>
    </row>
    <row r="26" spans="1:16" x14ac:dyDescent="0.25">
      <c r="A26" s="2">
        <v>45986</v>
      </c>
      <c r="B26" s="1" t="s">
        <v>16</v>
      </c>
      <c r="C26" s="1">
        <v>21454</v>
      </c>
      <c r="D26" s="1">
        <v>3300</v>
      </c>
      <c r="E26" s="1">
        <v>300</v>
      </c>
      <c r="F26" s="1">
        <f t="shared" si="0"/>
        <v>17854</v>
      </c>
      <c r="G26" s="1">
        <v>8350</v>
      </c>
      <c r="H26" s="1">
        <v>80</v>
      </c>
      <c r="I26" s="1">
        <f t="shared" si="1"/>
        <v>21454</v>
      </c>
      <c r="J26" s="1">
        <v>150</v>
      </c>
      <c r="K26" s="1">
        <f t="shared" si="2"/>
        <v>8430</v>
      </c>
      <c r="L26" s="1">
        <v>0</v>
      </c>
      <c r="M26" s="1">
        <f t="shared" si="3"/>
        <v>13174</v>
      </c>
      <c r="N26" s="1">
        <v>12608</v>
      </c>
      <c r="O26" s="1">
        <f t="shared" si="4"/>
        <v>-566</v>
      </c>
      <c r="P26" s="1" t="s">
        <v>32</v>
      </c>
    </row>
    <row r="27" spans="1:16" x14ac:dyDescent="0.25">
      <c r="A27" s="2">
        <v>45987</v>
      </c>
      <c r="B27" s="1" t="s">
        <v>17</v>
      </c>
      <c r="C27" s="1">
        <v>20942</v>
      </c>
      <c r="D27" s="1">
        <v>3450</v>
      </c>
      <c r="E27" s="1">
        <v>355</v>
      </c>
      <c r="F27" s="1">
        <f t="shared" si="0"/>
        <v>17137</v>
      </c>
      <c r="G27" s="1">
        <v>5044</v>
      </c>
      <c r="H27" s="1">
        <v>267</v>
      </c>
      <c r="I27" s="1">
        <f t="shared" si="1"/>
        <v>20942</v>
      </c>
      <c r="J27" s="1">
        <v>80</v>
      </c>
      <c r="K27" s="1">
        <f t="shared" si="2"/>
        <v>5311</v>
      </c>
      <c r="L27" s="1">
        <v>0</v>
      </c>
      <c r="M27" s="1">
        <f t="shared" si="3"/>
        <v>15711</v>
      </c>
      <c r="N27" s="1">
        <v>15711</v>
      </c>
      <c r="O27" s="1">
        <f t="shared" si="4"/>
        <v>0</v>
      </c>
    </row>
    <row r="28" spans="1:16" customFormat="1" x14ac:dyDescent="0.25">
      <c r="A28" s="2">
        <v>45988</v>
      </c>
      <c r="B28" t="s">
        <v>18</v>
      </c>
      <c r="C28" s="1">
        <v>27910</v>
      </c>
      <c r="D28" s="1">
        <v>4200</v>
      </c>
      <c r="E28" s="1">
        <v>305</v>
      </c>
      <c r="F28" s="1">
        <f t="shared" si="0"/>
        <v>23405</v>
      </c>
      <c r="G28" s="1">
        <v>3727</v>
      </c>
      <c r="H28" s="1">
        <v>446</v>
      </c>
      <c r="I28" s="1">
        <f t="shared" si="1"/>
        <v>27910</v>
      </c>
      <c r="J28" s="1">
        <v>100</v>
      </c>
      <c r="K28" s="1">
        <f t="shared" si="2"/>
        <v>4173</v>
      </c>
      <c r="L28" s="1">
        <v>0</v>
      </c>
      <c r="M28" s="1">
        <f t="shared" si="3"/>
        <v>23837</v>
      </c>
      <c r="N28" s="1">
        <v>23755</v>
      </c>
      <c r="O28" s="1">
        <f t="shared" si="4"/>
        <v>-82</v>
      </c>
      <c r="P28" s="1" t="s">
        <v>36</v>
      </c>
    </row>
    <row r="29" spans="1:16" x14ac:dyDescent="0.25">
      <c r="A29" s="2">
        <v>45989</v>
      </c>
      <c r="B29" s="1" t="s">
        <v>19</v>
      </c>
      <c r="C29" s="1">
        <v>18758</v>
      </c>
      <c r="D29" s="1">
        <v>3150</v>
      </c>
      <c r="E29" s="1">
        <v>650</v>
      </c>
      <c r="F29" s="1">
        <f t="shared" si="0"/>
        <v>14958</v>
      </c>
      <c r="G29" s="1">
        <v>4165</v>
      </c>
      <c r="H29" s="1">
        <v>333</v>
      </c>
      <c r="I29" s="1">
        <f t="shared" si="1"/>
        <v>18758</v>
      </c>
      <c r="J29" s="1">
        <v>155</v>
      </c>
      <c r="K29" s="1">
        <f t="shared" si="2"/>
        <v>4498</v>
      </c>
      <c r="L29" s="1">
        <v>0</v>
      </c>
      <c r="M29" s="1">
        <f t="shared" si="3"/>
        <v>14415</v>
      </c>
      <c r="N29" s="1">
        <v>14416</v>
      </c>
      <c r="O29" s="1">
        <f t="shared" si="4"/>
        <v>1</v>
      </c>
    </row>
    <row r="30" spans="1:16" customFormat="1" x14ac:dyDescent="0.25">
      <c r="A30" s="2">
        <v>45990</v>
      </c>
      <c r="B30" s="1" t="s">
        <v>20</v>
      </c>
      <c r="C30" s="1">
        <v>9416</v>
      </c>
      <c r="D30" s="1">
        <v>1500</v>
      </c>
      <c r="E30" s="1">
        <v>600</v>
      </c>
      <c r="F30" s="1">
        <f t="shared" si="0"/>
        <v>7316</v>
      </c>
      <c r="G30" s="1">
        <v>1546</v>
      </c>
      <c r="H30" s="1">
        <v>46</v>
      </c>
      <c r="I30" s="1">
        <f t="shared" si="1"/>
        <v>9416</v>
      </c>
      <c r="J30" s="1">
        <v>50</v>
      </c>
      <c r="K30" s="1">
        <f t="shared" si="2"/>
        <v>1592</v>
      </c>
      <c r="L30" s="1">
        <v>0</v>
      </c>
      <c r="M30" s="1">
        <f t="shared" si="3"/>
        <v>7874</v>
      </c>
      <c r="N30" s="1">
        <v>7876</v>
      </c>
      <c r="O30" s="1">
        <f>SUM(N30-M30)</f>
        <v>2</v>
      </c>
      <c r="P30" s="1"/>
    </row>
    <row r="31" spans="1:16" x14ac:dyDescent="0.25">
      <c r="A31" s="2">
        <v>45991</v>
      </c>
      <c r="B31" s="1" t="s">
        <v>21</v>
      </c>
      <c r="C31" s="1">
        <v>12904</v>
      </c>
      <c r="D31" s="1">
        <v>2550</v>
      </c>
      <c r="E31" s="1">
        <v>500</v>
      </c>
      <c r="F31" s="1">
        <f t="shared" si="0"/>
        <v>9854</v>
      </c>
      <c r="G31" s="1">
        <v>2023</v>
      </c>
      <c r="H31" s="1">
        <v>1</v>
      </c>
      <c r="I31" s="1">
        <f t="shared" si="1"/>
        <v>12904</v>
      </c>
      <c r="J31" s="1">
        <v>134</v>
      </c>
      <c r="K31" s="1">
        <f t="shared" si="2"/>
        <v>2024</v>
      </c>
      <c r="L31" s="1">
        <v>0</v>
      </c>
      <c r="M31" s="1">
        <f t="shared" si="3"/>
        <v>11014</v>
      </c>
      <c r="N31" s="1">
        <v>11013</v>
      </c>
      <c r="O31" s="1" t="s">
        <v>33</v>
      </c>
    </row>
    <row r="32" spans="1:16" x14ac:dyDescent="0.25">
      <c r="A32" s="2"/>
    </row>
    <row r="33" spans="3:3" x14ac:dyDescent="0.25">
      <c r="C33" s="1">
        <f>SUM(C2:C31)</f>
        <v>737634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KABILAN</dc:creator>
  <cp:lastModifiedBy>Kabilan Padmanaban</cp:lastModifiedBy>
  <dcterms:created xsi:type="dcterms:W3CDTF">2015-06-05T18:17:20Z</dcterms:created>
  <dcterms:modified xsi:type="dcterms:W3CDTF">2025-12-02T13:38:15Z</dcterms:modified>
</cp:coreProperties>
</file>