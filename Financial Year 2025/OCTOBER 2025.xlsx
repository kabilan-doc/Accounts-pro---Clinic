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:\MONTHY DATE WISE ACCOUNT\COMPLETE MONTHWISE ACCOUNT\"/>
    </mc:Choice>
  </mc:AlternateContent>
  <xr:revisionPtr revIDLastSave="0" documentId="13_ncr:1_{04F6DA3A-74F6-4345-BF8C-70A54DBFDE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1" l="1"/>
  <c r="O32" i="1"/>
  <c r="M32" i="1"/>
  <c r="K32" i="1"/>
  <c r="F32" i="1"/>
  <c r="I32" i="1" s="1"/>
  <c r="K31" i="1"/>
  <c r="M31" i="1" s="1"/>
  <c r="O31" i="1" s="1"/>
  <c r="F31" i="1"/>
  <c r="I31" i="1" s="1"/>
  <c r="O28" i="1"/>
  <c r="M28" i="1"/>
  <c r="K28" i="1"/>
  <c r="F28" i="1"/>
  <c r="I28" i="1"/>
  <c r="F29" i="1"/>
  <c r="I29" i="1" s="1"/>
  <c r="K29" i="1"/>
  <c r="K30" i="1"/>
  <c r="F27" i="1"/>
  <c r="I27" i="1" s="1"/>
  <c r="F30" i="1"/>
  <c r="I30" i="1" s="1"/>
  <c r="K27" i="1"/>
  <c r="K26" i="1"/>
  <c r="F26" i="1"/>
  <c r="I26" i="1" s="1"/>
  <c r="K25" i="1"/>
  <c r="F25" i="1"/>
  <c r="I25" i="1" s="1"/>
  <c r="K24" i="1"/>
  <c r="F24" i="1"/>
  <c r="I24" i="1" s="1"/>
  <c r="K23" i="1"/>
  <c r="F23" i="1"/>
  <c r="I23" i="1" s="1"/>
  <c r="K22" i="1"/>
  <c r="F22" i="1"/>
  <c r="I22" i="1" s="1"/>
  <c r="K20" i="1"/>
  <c r="F20" i="1"/>
  <c r="I20" i="1" s="1"/>
  <c r="K19" i="1"/>
  <c r="F19" i="1"/>
  <c r="I19" i="1" s="1"/>
  <c r="K18" i="1"/>
  <c r="M29" i="1" l="1"/>
  <c r="O29" i="1" s="1"/>
  <c r="M20" i="1"/>
  <c r="O20" i="1" s="1"/>
  <c r="M22" i="1"/>
  <c r="O22" i="1" s="1"/>
  <c r="M19" i="1"/>
  <c r="O19" i="1" s="1"/>
  <c r="M30" i="1"/>
  <c r="O30" i="1" s="1"/>
  <c r="M23" i="1"/>
  <c r="O23" i="1" s="1"/>
  <c r="M25" i="1"/>
  <c r="O25" i="1" s="1"/>
  <c r="M27" i="1"/>
  <c r="O27" i="1" s="1"/>
  <c r="M24" i="1"/>
  <c r="O24" i="1" s="1"/>
  <c r="M26" i="1"/>
  <c r="O26" i="1" s="1"/>
  <c r="F18" i="1"/>
  <c r="I18" i="1" s="1"/>
  <c r="M18" i="1" s="1"/>
  <c r="O18" i="1" s="1"/>
  <c r="K17" i="1"/>
  <c r="F17" i="1"/>
  <c r="I17" i="1" s="1"/>
  <c r="K16" i="1"/>
  <c r="F16" i="1"/>
  <c r="I16" i="1" s="1"/>
  <c r="K15" i="1"/>
  <c r="F15" i="1"/>
  <c r="I15" i="1" s="1"/>
  <c r="K14" i="1"/>
  <c r="F14" i="1"/>
  <c r="I14" i="1" s="1"/>
  <c r="K13" i="1"/>
  <c r="F13" i="1"/>
  <c r="I13" i="1" s="1"/>
  <c r="K12" i="1"/>
  <c r="F12" i="1"/>
  <c r="I12" i="1" s="1"/>
  <c r="K11" i="1"/>
  <c r="F11" i="1"/>
  <c r="I11" i="1" s="1"/>
  <c r="K10" i="1"/>
  <c r="F10" i="1"/>
  <c r="I10" i="1" s="1"/>
  <c r="K9" i="1"/>
  <c r="F9" i="1"/>
  <c r="I9" i="1" s="1"/>
  <c r="K8" i="1"/>
  <c r="F8" i="1"/>
  <c r="I8" i="1" s="1"/>
  <c r="K7" i="1"/>
  <c r="F7" i="1"/>
  <c r="I7" i="1" s="1"/>
  <c r="K6" i="1"/>
  <c r="F6" i="1"/>
  <c r="I6" i="1" s="1"/>
  <c r="K5" i="1"/>
  <c r="F5" i="1"/>
  <c r="I5" i="1" s="1"/>
  <c r="K4" i="1"/>
  <c r="F4" i="1"/>
  <c r="I4" i="1" s="1"/>
  <c r="K3" i="1"/>
  <c r="F3" i="1"/>
  <c r="I3" i="1" s="1"/>
  <c r="K2" i="1"/>
  <c r="F2" i="1"/>
  <c r="I2" i="1" s="1"/>
  <c r="M16" i="1" l="1"/>
  <c r="O16" i="1" s="1"/>
  <c r="M7" i="1"/>
  <c r="O7" i="1" s="1"/>
  <c r="M9" i="1"/>
  <c r="O9" i="1" s="1"/>
  <c r="M11" i="1"/>
  <c r="O11" i="1" s="1"/>
  <c r="M13" i="1"/>
  <c r="O13" i="1" s="1"/>
  <c r="M15" i="1"/>
  <c r="O15" i="1" s="1"/>
  <c r="M6" i="1"/>
  <c r="O6" i="1" s="1"/>
  <c r="M8" i="1"/>
  <c r="O8" i="1" s="1"/>
  <c r="M17" i="1"/>
  <c r="O17" i="1" s="1"/>
  <c r="M12" i="1"/>
  <c r="O12" i="1" s="1"/>
  <c r="M14" i="1"/>
  <c r="O14" i="1" s="1"/>
  <c r="M5" i="1"/>
  <c r="O5" i="1" s="1"/>
  <c r="M10" i="1"/>
  <c r="O10" i="1" s="1"/>
  <c r="M4" i="1"/>
  <c r="O4" i="1" s="1"/>
  <c r="M3" i="1"/>
  <c r="O3" i="1" s="1"/>
  <c r="M2" i="1"/>
  <c r="O2" i="1" s="1"/>
</calcChain>
</file>

<file path=xl/sharedStrings.xml><?xml version="1.0" encoding="utf-8"?>
<sst xmlns="http://schemas.openxmlformats.org/spreadsheetml/2006/main" count="64" uniqueCount="40">
  <si>
    <t>DATE</t>
  </si>
  <si>
    <t>DAY</t>
  </si>
  <si>
    <t>TOTAL SALESAMOUNT IN COMPUTER</t>
  </si>
  <si>
    <t>TOTAL OP CHARGES</t>
  </si>
  <si>
    <t>INJECTION</t>
  </si>
  <si>
    <t>TOTAL MEDICINE SALES</t>
  </si>
  <si>
    <t>GPAY</t>
  </si>
  <si>
    <t>EXPENSE</t>
  </si>
  <si>
    <t>TOTAL</t>
  </si>
  <si>
    <t>GPAY &amp; EXPENSE</t>
  </si>
  <si>
    <t>TOTAL CASH</t>
  </si>
  <si>
    <t>TOTAL CASH GIVEN</t>
  </si>
  <si>
    <t>EXCESS/DEFECIT</t>
  </si>
  <si>
    <t>NOTES</t>
  </si>
  <si>
    <t>EXTRA CHARGE</t>
  </si>
  <si>
    <t>TUESDAY</t>
  </si>
  <si>
    <t>WEDNESDAY</t>
  </si>
  <si>
    <t>THURSDAY</t>
  </si>
  <si>
    <t>FRIDAY</t>
  </si>
  <si>
    <t>SATURDAY</t>
  </si>
  <si>
    <t>SUNDAY</t>
  </si>
  <si>
    <t>MONDAY</t>
  </si>
  <si>
    <t>RETURN</t>
  </si>
  <si>
    <t>devi 14,aarthi 27,</t>
  </si>
  <si>
    <t xml:space="preserve">REENA </t>
  </si>
  <si>
    <t>varsha 51</t>
  </si>
  <si>
    <t>DUE-2033</t>
  </si>
  <si>
    <t>prabu 1318</t>
  </si>
  <si>
    <t>1318 prabu,vidhya 18</t>
  </si>
  <si>
    <t>prabu 1024,SOTTA 1000</t>
  </si>
  <si>
    <t>76 dhasvath,deen 42,akka505</t>
  </si>
  <si>
    <t>akka-2500kabilan 1000, kayal 1500</t>
  </si>
  <si>
    <t>Prabu 331</t>
  </si>
  <si>
    <t>12 excess</t>
  </si>
  <si>
    <t>due 19</t>
  </si>
  <si>
    <t>743 prabu due</t>
  </si>
  <si>
    <t>386 prabu</t>
  </si>
  <si>
    <t>500 Prabu,126-beer mohamed</t>
  </si>
  <si>
    <t>Extra-RBS</t>
  </si>
  <si>
    <t>RBS-150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</si>
</sst>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2" borderId="0" xfId="1" applyAlignment="1">
      <alignment horizontal="center"/>
    </xf>
    <xf numFmtId="0" fontId="3" fillId="3" borderId="1" xfId="2" applyAlignment="1">
      <alignment horizontal="center"/>
    </xf>
    <xf numFmtId="0" fontId="4" fillId="4" borderId="0" xfId="3" applyAlignment="1">
      <alignment horizontal="center"/>
    </xf>
    <xf numFmtId="164" fontId="3" fillId="3" borderId="1" xfId="2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4" fillId="4" borderId="0" xfId="3" applyNumberFormat="1" applyAlignment="1">
      <alignment horizontal="center" vertical="center"/>
    </xf>
  </cellXfs>
  <cellStyles count="4">
    <cellStyle name="Bad" xfId="3" builtinId="27"/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35"/>
  <sheetViews>
    <sheetView tabSelected="1" zoomScale="80" zoomScaleNormal="80" workbookViewId="0">
      <selection activeCell="C35" sqref="C35"/>
    </sheetView>
  </sheetViews>
  <sheetFormatPr defaultRowHeight="15" x14ac:dyDescent="0.25"/>
  <cols>
    <col min="1" max="1" width="18.140625" style="6" customWidth="1"/>
    <col min="2" max="2" width="15.5703125" style="1" customWidth="1"/>
    <col min="3" max="3" width="33.85546875" style="1" bestFit="1" customWidth="1"/>
    <col min="4" max="4" width="18.42578125" style="1" bestFit="1" customWidth="1"/>
    <col min="5" max="5" width="10.28515625" style="1" bestFit="1" customWidth="1"/>
    <col min="6" max="6" width="21.7109375" style="1" bestFit="1" customWidth="1"/>
    <col min="7" max="7" width="17.28515625" style="1" customWidth="1"/>
    <col min="8" max="8" width="8.7109375" style="1" bestFit="1" customWidth="1"/>
    <col min="9" max="9" width="9.28515625" style="1" customWidth="1"/>
    <col min="10" max="10" width="18.42578125" style="1" customWidth="1"/>
    <col min="11" max="11" width="15.85546875" style="1" bestFit="1" customWidth="1"/>
    <col min="12" max="12" width="18.42578125" style="1" customWidth="1"/>
    <col min="13" max="13" width="11.7109375" style="1" bestFit="1" customWidth="1"/>
    <col min="14" max="14" width="18" style="1" bestFit="1" customWidth="1"/>
    <col min="15" max="15" width="15.28515625" style="1" bestFit="1" customWidth="1"/>
    <col min="16" max="16" width="43" style="1" customWidth="1"/>
    <col min="17" max="17" width="40.28515625" style="1" bestFit="1" customWidth="1"/>
    <col min="18" max="16384" width="9.140625" style="1"/>
  </cols>
  <sheetData>
    <row r="1" spans="1:56" s="3" customFormat="1" x14ac:dyDescent="0.25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14</v>
      </c>
      <c r="K1" s="3" t="s">
        <v>9</v>
      </c>
      <c r="L1" s="3" t="s">
        <v>22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38</v>
      </c>
    </row>
    <row r="2" spans="1:56" customFormat="1" x14ac:dyDescent="0.25">
      <c r="A2" s="6">
        <v>45931</v>
      </c>
      <c r="B2" s="1" t="s">
        <v>16</v>
      </c>
      <c r="C2" s="1">
        <v>12524</v>
      </c>
      <c r="D2" s="1">
        <v>2550</v>
      </c>
      <c r="E2" s="1">
        <v>450</v>
      </c>
      <c r="F2" s="1">
        <f t="shared" ref="F2:F32" si="0">SUM(C2-D2-E2)</f>
        <v>9524</v>
      </c>
      <c r="G2" s="1">
        <v>1163</v>
      </c>
      <c r="H2" s="1">
        <v>410</v>
      </c>
      <c r="I2" s="1">
        <f t="shared" ref="I2:I32" si="1">SUM(D2,E2,F2)</f>
        <v>12524</v>
      </c>
      <c r="J2" s="1">
        <v>290</v>
      </c>
      <c r="K2" s="1">
        <f t="shared" ref="K2:K32" si="2">SUM(G2,H2)</f>
        <v>1573</v>
      </c>
      <c r="L2" s="1">
        <v>0</v>
      </c>
      <c r="M2" s="1">
        <f t="shared" ref="M2:M32" si="3">SUM(I2,J2-K2-L2)</f>
        <v>11241</v>
      </c>
      <c r="N2" s="1">
        <v>11191</v>
      </c>
      <c r="O2" s="1">
        <f t="shared" ref="O2:O32" si="4">SUM(N2-M2)</f>
        <v>-50</v>
      </c>
    </row>
    <row r="3" spans="1:56" customFormat="1" x14ac:dyDescent="0.25">
      <c r="A3" s="6">
        <v>45932</v>
      </c>
      <c r="B3" s="1" t="s">
        <v>17</v>
      </c>
      <c r="C3" s="1">
        <v>51294</v>
      </c>
      <c r="D3" s="1">
        <v>8850</v>
      </c>
      <c r="E3" s="1">
        <v>1771</v>
      </c>
      <c r="F3" s="1">
        <f t="shared" si="0"/>
        <v>40673</v>
      </c>
      <c r="G3" s="1">
        <v>24818</v>
      </c>
      <c r="H3" s="1">
        <v>60</v>
      </c>
      <c r="I3" s="1">
        <f t="shared" si="1"/>
        <v>51294</v>
      </c>
      <c r="J3" s="1">
        <v>160</v>
      </c>
      <c r="K3" s="1">
        <f t="shared" si="2"/>
        <v>24878</v>
      </c>
      <c r="L3" s="1">
        <v>0</v>
      </c>
      <c r="M3" s="1">
        <f t="shared" si="3"/>
        <v>26576</v>
      </c>
      <c r="N3" s="1">
        <v>26550</v>
      </c>
      <c r="O3" s="1">
        <f t="shared" si="4"/>
        <v>-26</v>
      </c>
    </row>
    <row r="4" spans="1:56" customFormat="1" x14ac:dyDescent="0.25">
      <c r="A4" s="6">
        <v>45933</v>
      </c>
      <c r="B4" s="1" t="s">
        <v>18</v>
      </c>
      <c r="C4" s="1">
        <v>30177</v>
      </c>
      <c r="D4" s="1">
        <v>6000</v>
      </c>
      <c r="E4" s="1">
        <v>750</v>
      </c>
      <c r="F4" s="1">
        <f t="shared" si="0"/>
        <v>23427</v>
      </c>
      <c r="G4" s="1">
        <v>7869</v>
      </c>
      <c r="H4" s="1">
        <v>319</v>
      </c>
      <c r="I4" s="1">
        <f t="shared" si="1"/>
        <v>30177</v>
      </c>
      <c r="J4" s="1">
        <v>420</v>
      </c>
      <c r="K4" s="1">
        <f t="shared" si="2"/>
        <v>8188</v>
      </c>
      <c r="L4" s="1">
        <v>0</v>
      </c>
      <c r="M4" s="1">
        <f t="shared" si="3"/>
        <v>22409</v>
      </c>
      <c r="N4" s="1">
        <v>22355</v>
      </c>
      <c r="O4" s="1">
        <f t="shared" si="4"/>
        <v>-54</v>
      </c>
      <c r="P4" t="s">
        <v>23</v>
      </c>
    </row>
    <row r="5" spans="1:56" customFormat="1" x14ac:dyDescent="0.25">
      <c r="A5" s="6">
        <v>45934</v>
      </c>
      <c r="B5" s="1" t="s">
        <v>19</v>
      </c>
      <c r="C5" s="1">
        <v>21834</v>
      </c>
      <c r="D5" s="1">
        <v>3900</v>
      </c>
      <c r="E5" s="1">
        <v>700</v>
      </c>
      <c r="F5" s="1">
        <f t="shared" si="0"/>
        <v>17234</v>
      </c>
      <c r="G5" s="1">
        <v>5300</v>
      </c>
      <c r="H5" s="1">
        <v>1060</v>
      </c>
      <c r="I5" s="1">
        <f t="shared" si="1"/>
        <v>21834</v>
      </c>
      <c r="J5" s="1">
        <v>200</v>
      </c>
      <c r="K5" s="1">
        <f t="shared" si="2"/>
        <v>6360</v>
      </c>
      <c r="L5" s="1">
        <v>0</v>
      </c>
      <c r="M5" s="1">
        <f t="shared" si="3"/>
        <v>15674</v>
      </c>
      <c r="N5" s="1">
        <v>15672</v>
      </c>
      <c r="O5" s="1">
        <f t="shared" si="4"/>
        <v>-2</v>
      </c>
    </row>
    <row r="6" spans="1:56" x14ac:dyDescent="0.25">
      <c r="A6" s="6">
        <v>45935</v>
      </c>
      <c r="B6" s="1" t="s">
        <v>20</v>
      </c>
      <c r="C6" s="1">
        <v>24101</v>
      </c>
      <c r="D6" s="1">
        <v>3300</v>
      </c>
      <c r="E6" s="1">
        <v>700</v>
      </c>
      <c r="F6" s="1">
        <f t="shared" si="0"/>
        <v>20101</v>
      </c>
      <c r="G6" s="1">
        <v>12144</v>
      </c>
      <c r="H6" s="1">
        <v>380</v>
      </c>
      <c r="I6" s="1">
        <f t="shared" si="1"/>
        <v>24101</v>
      </c>
      <c r="J6" s="1">
        <v>395</v>
      </c>
      <c r="K6" s="1">
        <f t="shared" si="2"/>
        <v>12524</v>
      </c>
      <c r="L6" s="1">
        <v>0</v>
      </c>
      <c r="M6" s="1">
        <f t="shared" si="3"/>
        <v>11972</v>
      </c>
      <c r="N6" s="1">
        <v>7472</v>
      </c>
      <c r="O6" s="1">
        <f t="shared" si="4"/>
        <v>-4500</v>
      </c>
      <c r="P6" s="1" t="s">
        <v>24</v>
      </c>
    </row>
    <row r="7" spans="1:56" s="2" customFormat="1" x14ac:dyDescent="0.25">
      <c r="A7" s="6">
        <v>45936</v>
      </c>
      <c r="B7" s="1" t="s">
        <v>21</v>
      </c>
      <c r="C7" s="1">
        <v>37117</v>
      </c>
      <c r="D7" s="1">
        <v>6750</v>
      </c>
      <c r="E7" s="1">
        <v>1150</v>
      </c>
      <c r="F7" s="1">
        <f t="shared" si="0"/>
        <v>29217</v>
      </c>
      <c r="G7" s="1">
        <v>10836</v>
      </c>
      <c r="H7" s="1">
        <v>128</v>
      </c>
      <c r="I7" s="1">
        <f t="shared" si="1"/>
        <v>37117</v>
      </c>
      <c r="J7" s="1">
        <v>650</v>
      </c>
      <c r="K7" s="1">
        <f t="shared" si="2"/>
        <v>10964</v>
      </c>
      <c r="L7" s="1">
        <v>59</v>
      </c>
      <c r="M7" s="1">
        <f t="shared" si="3"/>
        <v>26744</v>
      </c>
      <c r="N7" s="1">
        <v>26750</v>
      </c>
      <c r="O7" s="1">
        <f t="shared" si="4"/>
        <v>6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</row>
    <row r="8" spans="1:56" x14ac:dyDescent="0.25">
      <c r="A8" s="6">
        <v>45937</v>
      </c>
      <c r="B8" s="1" t="s">
        <v>15</v>
      </c>
      <c r="C8" s="1">
        <v>34500</v>
      </c>
      <c r="D8" s="1">
        <v>5200</v>
      </c>
      <c r="E8" s="1">
        <v>950</v>
      </c>
      <c r="F8" s="1">
        <f t="shared" si="0"/>
        <v>28350</v>
      </c>
      <c r="G8" s="1">
        <v>13995</v>
      </c>
      <c r="H8" s="1">
        <v>1104</v>
      </c>
      <c r="I8" s="1">
        <f t="shared" si="1"/>
        <v>34500</v>
      </c>
      <c r="J8" s="1">
        <v>40</v>
      </c>
      <c r="K8" s="1">
        <f t="shared" si="2"/>
        <v>15099</v>
      </c>
      <c r="L8" s="1">
        <v>0</v>
      </c>
      <c r="M8" s="1">
        <f t="shared" si="3"/>
        <v>19441</v>
      </c>
      <c r="N8" s="1">
        <v>19390</v>
      </c>
      <c r="O8" s="1">
        <f t="shared" si="4"/>
        <v>-51</v>
      </c>
      <c r="P8" s="1" t="s">
        <v>25</v>
      </c>
    </row>
    <row r="9" spans="1:56" customFormat="1" x14ac:dyDescent="0.25">
      <c r="A9" s="6">
        <v>45938</v>
      </c>
      <c r="B9" s="1" t="s">
        <v>16</v>
      </c>
      <c r="C9" s="1">
        <v>35219</v>
      </c>
      <c r="D9" s="1">
        <v>6000</v>
      </c>
      <c r="E9" s="1">
        <v>1340</v>
      </c>
      <c r="F9" s="1">
        <f t="shared" si="0"/>
        <v>27879</v>
      </c>
      <c r="G9" s="1">
        <v>12939</v>
      </c>
      <c r="H9" s="1">
        <v>660</v>
      </c>
      <c r="I9" s="1">
        <f t="shared" si="1"/>
        <v>35219</v>
      </c>
      <c r="J9" s="1">
        <v>5</v>
      </c>
      <c r="K9" s="1">
        <f t="shared" si="2"/>
        <v>13599</v>
      </c>
      <c r="L9" s="1">
        <v>0</v>
      </c>
      <c r="M9" s="1">
        <f t="shared" si="3"/>
        <v>21625</v>
      </c>
      <c r="N9" s="1">
        <v>21623</v>
      </c>
      <c r="O9" s="1">
        <f t="shared" si="4"/>
        <v>-2</v>
      </c>
    </row>
    <row r="10" spans="1:56" x14ac:dyDescent="0.25">
      <c r="A10" s="6">
        <v>45939</v>
      </c>
      <c r="B10" s="1" t="s">
        <v>17</v>
      </c>
      <c r="C10" s="1">
        <v>26029</v>
      </c>
      <c r="D10" s="1">
        <v>4650</v>
      </c>
      <c r="E10" s="1">
        <v>600</v>
      </c>
      <c r="F10" s="1">
        <f t="shared" si="0"/>
        <v>20779</v>
      </c>
      <c r="G10" s="1">
        <v>12084</v>
      </c>
      <c r="H10" s="1">
        <v>603</v>
      </c>
      <c r="I10" s="1">
        <f t="shared" si="1"/>
        <v>26029</v>
      </c>
      <c r="J10" s="1">
        <v>540</v>
      </c>
      <c r="K10" s="1">
        <f t="shared" si="2"/>
        <v>12687</v>
      </c>
      <c r="L10" s="1">
        <v>0</v>
      </c>
      <c r="M10" s="1">
        <f t="shared" si="3"/>
        <v>13882</v>
      </c>
      <c r="N10" s="1">
        <v>13825</v>
      </c>
      <c r="O10" s="1">
        <f>SUM(N10-M10)</f>
        <v>-57</v>
      </c>
    </row>
    <row r="11" spans="1:56" x14ac:dyDescent="0.25">
      <c r="A11" s="6">
        <v>45940</v>
      </c>
      <c r="B11" s="1" t="s">
        <v>18</v>
      </c>
      <c r="C11" s="1">
        <v>23546</v>
      </c>
      <c r="D11" s="1">
        <v>3900</v>
      </c>
      <c r="E11" s="1">
        <v>850</v>
      </c>
      <c r="F11" s="1">
        <f t="shared" si="0"/>
        <v>18796</v>
      </c>
      <c r="G11" s="1">
        <v>7152</v>
      </c>
      <c r="H11" s="1">
        <v>351</v>
      </c>
      <c r="I11" s="1">
        <f t="shared" si="1"/>
        <v>23546</v>
      </c>
      <c r="J11" s="1">
        <v>0</v>
      </c>
      <c r="K11" s="1">
        <f t="shared" si="2"/>
        <v>7503</v>
      </c>
      <c r="L11" s="1">
        <v>58</v>
      </c>
      <c r="M11" s="1">
        <f t="shared" si="3"/>
        <v>15985</v>
      </c>
      <c r="N11" s="1">
        <v>16010</v>
      </c>
      <c r="O11" s="1">
        <f t="shared" si="4"/>
        <v>25</v>
      </c>
    </row>
    <row r="12" spans="1:56" x14ac:dyDescent="0.25">
      <c r="A12" s="6">
        <v>45941</v>
      </c>
      <c r="B12" s="1" t="s">
        <v>19</v>
      </c>
      <c r="C12" s="1">
        <v>26801</v>
      </c>
      <c r="D12" s="1">
        <v>4050</v>
      </c>
      <c r="E12" s="1">
        <v>1310</v>
      </c>
      <c r="F12" s="1">
        <f t="shared" si="0"/>
        <v>21441</v>
      </c>
      <c r="G12" s="1">
        <v>5997</v>
      </c>
      <c r="H12" s="1">
        <v>2</v>
      </c>
      <c r="I12" s="1">
        <f t="shared" si="1"/>
        <v>26801</v>
      </c>
      <c r="J12" s="1">
        <v>380</v>
      </c>
      <c r="K12" s="1">
        <f t="shared" si="2"/>
        <v>5999</v>
      </c>
      <c r="L12" s="1">
        <v>0</v>
      </c>
      <c r="M12" s="1">
        <f t="shared" si="3"/>
        <v>21182</v>
      </c>
      <c r="N12" s="1">
        <v>19155</v>
      </c>
      <c r="O12" s="1">
        <f t="shared" si="4"/>
        <v>-2027</v>
      </c>
      <c r="P12" s="1" t="s">
        <v>26</v>
      </c>
    </row>
    <row r="13" spans="1:56" x14ac:dyDescent="0.25">
      <c r="A13" s="6">
        <v>45942</v>
      </c>
      <c r="B13" s="1" t="s">
        <v>20</v>
      </c>
      <c r="C13" s="1">
        <v>22929</v>
      </c>
      <c r="D13" s="1">
        <v>4650</v>
      </c>
      <c r="E13" s="1">
        <v>990</v>
      </c>
      <c r="F13" s="1">
        <f t="shared" si="0"/>
        <v>17289</v>
      </c>
      <c r="G13" s="1">
        <v>6639</v>
      </c>
      <c r="H13" s="1">
        <v>319</v>
      </c>
      <c r="I13" s="1">
        <f t="shared" si="1"/>
        <v>22929</v>
      </c>
      <c r="J13" s="1">
        <v>120</v>
      </c>
      <c r="K13" s="1">
        <f t="shared" si="2"/>
        <v>6958</v>
      </c>
      <c r="L13" s="1">
        <v>0</v>
      </c>
      <c r="M13" s="1">
        <f t="shared" si="3"/>
        <v>16091</v>
      </c>
      <c r="N13" s="1">
        <v>14780</v>
      </c>
      <c r="O13" s="1">
        <f t="shared" si="4"/>
        <v>-1311</v>
      </c>
      <c r="P13" s="1" t="s">
        <v>27</v>
      </c>
    </row>
    <row r="14" spans="1:56" s="2" customFormat="1" x14ac:dyDescent="0.25">
      <c r="A14" s="6">
        <v>45943</v>
      </c>
      <c r="B14" s="1" t="s">
        <v>21</v>
      </c>
      <c r="C14" s="1">
        <v>35400</v>
      </c>
      <c r="D14" s="1">
        <v>6650</v>
      </c>
      <c r="E14" s="1">
        <v>400</v>
      </c>
      <c r="F14" s="1">
        <f t="shared" si="0"/>
        <v>28350</v>
      </c>
      <c r="G14" s="1">
        <v>3937</v>
      </c>
      <c r="H14" s="1">
        <v>402</v>
      </c>
      <c r="I14" s="1">
        <f t="shared" si="1"/>
        <v>35400</v>
      </c>
      <c r="J14" s="1">
        <v>970</v>
      </c>
      <c r="K14" s="1">
        <f t="shared" si="2"/>
        <v>4339</v>
      </c>
      <c r="L14" s="1">
        <v>156</v>
      </c>
      <c r="M14" s="1">
        <f t="shared" si="3"/>
        <v>31875</v>
      </c>
      <c r="N14" s="1">
        <v>30427</v>
      </c>
      <c r="O14" s="1">
        <f t="shared" si="4"/>
        <v>-1448</v>
      </c>
      <c r="P14" t="s">
        <v>28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 spans="1:56" x14ac:dyDescent="0.25">
      <c r="A15" s="6">
        <v>45944</v>
      </c>
      <c r="B15" s="1" t="s">
        <v>15</v>
      </c>
      <c r="C15" s="1">
        <v>30142</v>
      </c>
      <c r="D15" s="1">
        <v>4650</v>
      </c>
      <c r="E15" s="1">
        <v>750</v>
      </c>
      <c r="F15" s="1">
        <f t="shared" si="0"/>
        <v>24742</v>
      </c>
      <c r="G15" s="1">
        <v>3933</v>
      </c>
      <c r="H15" s="1">
        <v>1616</v>
      </c>
      <c r="I15" s="1">
        <f t="shared" si="1"/>
        <v>30142</v>
      </c>
      <c r="J15" s="1">
        <v>20</v>
      </c>
      <c r="K15" s="1">
        <f t="shared" si="2"/>
        <v>5549</v>
      </c>
      <c r="L15" s="1">
        <v>173</v>
      </c>
      <c r="M15" s="1">
        <f t="shared" si="3"/>
        <v>24440</v>
      </c>
      <c r="N15" s="1">
        <v>22418</v>
      </c>
      <c r="O15" s="1">
        <f t="shared" si="4"/>
        <v>-2022</v>
      </c>
      <c r="P15" s="1" t="s">
        <v>29</v>
      </c>
    </row>
    <row r="16" spans="1:56" customFormat="1" x14ac:dyDescent="0.25">
      <c r="A16" s="6">
        <v>45945</v>
      </c>
      <c r="B16" s="1" t="s">
        <v>16</v>
      </c>
      <c r="C16" s="1">
        <v>20478</v>
      </c>
      <c r="D16" s="1">
        <v>4350</v>
      </c>
      <c r="E16" s="1">
        <v>750</v>
      </c>
      <c r="F16" s="1">
        <f t="shared" si="0"/>
        <v>15378</v>
      </c>
      <c r="G16" s="1">
        <v>2126</v>
      </c>
      <c r="H16" s="1">
        <v>5</v>
      </c>
      <c r="I16" s="1">
        <f t="shared" si="1"/>
        <v>20478</v>
      </c>
      <c r="J16" s="1">
        <v>230</v>
      </c>
      <c r="K16" s="1">
        <f t="shared" si="2"/>
        <v>2131</v>
      </c>
      <c r="L16" s="1">
        <v>0</v>
      </c>
      <c r="M16" s="1">
        <f t="shared" si="3"/>
        <v>18577</v>
      </c>
      <c r="N16" s="1">
        <v>17953</v>
      </c>
      <c r="O16" s="1">
        <f t="shared" si="4"/>
        <v>-624</v>
      </c>
      <c r="P16" s="1" t="s">
        <v>30</v>
      </c>
    </row>
    <row r="17" spans="1:192" x14ac:dyDescent="0.25">
      <c r="A17" s="6">
        <v>45946</v>
      </c>
      <c r="B17" s="1" t="s">
        <v>17</v>
      </c>
      <c r="C17" s="1">
        <v>17402</v>
      </c>
      <c r="D17" s="1">
        <v>3450</v>
      </c>
      <c r="E17" s="1">
        <v>610</v>
      </c>
      <c r="F17" s="1">
        <f t="shared" si="0"/>
        <v>13342</v>
      </c>
      <c r="G17" s="1">
        <v>5260</v>
      </c>
      <c r="H17" s="1">
        <v>21</v>
      </c>
      <c r="I17" s="1">
        <f t="shared" si="1"/>
        <v>17402</v>
      </c>
      <c r="J17" s="1">
        <v>0</v>
      </c>
      <c r="K17" s="1">
        <f t="shared" si="2"/>
        <v>5281</v>
      </c>
      <c r="L17" s="1">
        <v>0</v>
      </c>
      <c r="M17" s="1">
        <f t="shared" si="3"/>
        <v>12121</v>
      </c>
      <c r="N17" s="1">
        <v>12125</v>
      </c>
      <c r="O17" s="1">
        <f t="shared" si="4"/>
        <v>4</v>
      </c>
    </row>
    <row r="18" spans="1:192" x14ac:dyDescent="0.25">
      <c r="A18" s="6">
        <v>45947</v>
      </c>
      <c r="B18" s="1" t="s">
        <v>18</v>
      </c>
      <c r="C18" s="1">
        <v>16653</v>
      </c>
      <c r="D18" s="1">
        <v>3000</v>
      </c>
      <c r="E18" s="1">
        <v>450</v>
      </c>
      <c r="F18" s="1">
        <f t="shared" si="0"/>
        <v>13203</v>
      </c>
      <c r="G18" s="1">
        <v>2763</v>
      </c>
      <c r="H18" s="1">
        <v>619</v>
      </c>
      <c r="I18" s="1">
        <f t="shared" si="1"/>
        <v>16653</v>
      </c>
      <c r="J18" s="1">
        <v>50</v>
      </c>
      <c r="K18" s="1">
        <f t="shared" si="2"/>
        <v>3382</v>
      </c>
      <c r="L18" s="1">
        <v>0</v>
      </c>
      <c r="M18" s="1">
        <f t="shared" si="3"/>
        <v>13321</v>
      </c>
      <c r="N18" s="1">
        <v>12990</v>
      </c>
      <c r="O18" s="1">
        <f t="shared" si="4"/>
        <v>-331</v>
      </c>
      <c r="P18" s="1" t="s">
        <v>31</v>
      </c>
      <c r="Q18" s="1" t="s">
        <v>32</v>
      </c>
    </row>
    <row r="19" spans="1:192" x14ac:dyDescent="0.25">
      <c r="A19" s="6">
        <v>45948</v>
      </c>
      <c r="B19" s="1" t="s">
        <v>19</v>
      </c>
      <c r="C19" s="1">
        <v>22106</v>
      </c>
      <c r="D19" s="1">
        <v>3750</v>
      </c>
      <c r="E19" s="1">
        <v>400</v>
      </c>
      <c r="F19" s="1">
        <f t="shared" si="0"/>
        <v>17956</v>
      </c>
      <c r="G19" s="1">
        <v>4874</v>
      </c>
      <c r="H19" s="1">
        <v>186</v>
      </c>
      <c r="I19" s="1">
        <f t="shared" si="1"/>
        <v>22106</v>
      </c>
      <c r="J19" s="1">
        <v>14</v>
      </c>
      <c r="K19" s="1">
        <f t="shared" si="2"/>
        <v>5060</v>
      </c>
      <c r="L19" s="1">
        <v>0</v>
      </c>
      <c r="M19" s="1">
        <f t="shared" si="3"/>
        <v>17060</v>
      </c>
      <c r="N19" s="1">
        <v>17071</v>
      </c>
      <c r="O19" s="1">
        <f t="shared" si="4"/>
        <v>11</v>
      </c>
      <c r="Q19" s="1" t="s">
        <v>33</v>
      </c>
    </row>
    <row r="20" spans="1:192" x14ac:dyDescent="0.25">
      <c r="A20" s="6">
        <v>45949</v>
      </c>
      <c r="B20" s="1" t="s">
        <v>20</v>
      </c>
      <c r="C20" s="1">
        <v>25334</v>
      </c>
      <c r="D20" s="1">
        <v>5250</v>
      </c>
      <c r="E20" s="1">
        <v>300</v>
      </c>
      <c r="F20" s="1">
        <f t="shared" si="0"/>
        <v>19784</v>
      </c>
      <c r="G20" s="1">
        <v>5470</v>
      </c>
      <c r="H20" s="1">
        <v>0</v>
      </c>
      <c r="I20" s="1">
        <f t="shared" si="1"/>
        <v>25334</v>
      </c>
      <c r="J20" s="1">
        <v>0</v>
      </c>
      <c r="K20" s="1">
        <f t="shared" si="2"/>
        <v>5470</v>
      </c>
      <c r="L20" s="1">
        <v>278</v>
      </c>
      <c r="M20" s="1">
        <f t="shared" si="3"/>
        <v>19586</v>
      </c>
      <c r="N20" s="1">
        <v>19589</v>
      </c>
      <c r="O20" s="1">
        <f t="shared" si="4"/>
        <v>3</v>
      </c>
    </row>
    <row r="21" spans="1:192" s="4" customFormat="1" x14ac:dyDescent="0.25">
      <c r="A21" s="7">
        <v>45950</v>
      </c>
      <c r="B21" s="4" t="s">
        <v>21</v>
      </c>
      <c r="C21" s="4">
        <v>0</v>
      </c>
    </row>
    <row r="22" spans="1:192" s="2" customFormat="1" ht="14.25" customHeight="1" x14ac:dyDescent="0.25">
      <c r="A22" s="6">
        <v>45951</v>
      </c>
      <c r="B22" s="1" t="s">
        <v>15</v>
      </c>
      <c r="C22" s="1">
        <v>31126</v>
      </c>
      <c r="D22" s="1">
        <v>7800</v>
      </c>
      <c r="E22" s="1">
        <v>450</v>
      </c>
      <c r="F22" s="1">
        <f t="shared" si="0"/>
        <v>22876</v>
      </c>
      <c r="G22" s="1">
        <v>9220</v>
      </c>
      <c r="H22" s="1">
        <v>60</v>
      </c>
      <c r="I22" s="1">
        <f t="shared" si="1"/>
        <v>31126</v>
      </c>
      <c r="J22" s="1">
        <v>655</v>
      </c>
      <c r="K22" s="1">
        <f t="shared" si="2"/>
        <v>9280</v>
      </c>
      <c r="L22" s="1">
        <v>0</v>
      </c>
      <c r="M22" s="1">
        <f t="shared" si="3"/>
        <v>22501</v>
      </c>
      <c r="N22" s="1">
        <v>22410</v>
      </c>
      <c r="O22" s="1">
        <f t="shared" si="4"/>
        <v>-91</v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</row>
    <row r="23" spans="1:192" x14ac:dyDescent="0.25">
      <c r="A23" s="6">
        <v>45952</v>
      </c>
      <c r="B23" s="1" t="s">
        <v>16</v>
      </c>
      <c r="C23" s="1">
        <v>40274</v>
      </c>
      <c r="D23" s="1">
        <v>5700</v>
      </c>
      <c r="E23" s="1">
        <v>1300</v>
      </c>
      <c r="F23" s="1">
        <f t="shared" si="0"/>
        <v>33274</v>
      </c>
      <c r="G23" s="1">
        <v>12465</v>
      </c>
      <c r="H23" s="1">
        <v>10</v>
      </c>
      <c r="I23" s="1">
        <f t="shared" si="1"/>
        <v>40274</v>
      </c>
      <c r="J23" s="1">
        <v>950</v>
      </c>
      <c r="K23" s="1">
        <f t="shared" si="2"/>
        <v>12475</v>
      </c>
      <c r="L23" s="1">
        <v>0</v>
      </c>
      <c r="M23" s="1">
        <f t="shared" si="3"/>
        <v>28749</v>
      </c>
      <c r="N23" s="1">
        <v>28756</v>
      </c>
      <c r="O23" s="1">
        <f t="shared" si="4"/>
        <v>7</v>
      </c>
    </row>
    <row r="24" spans="1:192" customFormat="1" x14ac:dyDescent="0.25">
      <c r="A24" s="6">
        <v>45953</v>
      </c>
      <c r="B24" s="1" t="s">
        <v>17</v>
      </c>
      <c r="C24" s="1">
        <v>41506</v>
      </c>
      <c r="D24" s="1">
        <v>9000</v>
      </c>
      <c r="E24" s="1">
        <v>805</v>
      </c>
      <c r="F24" s="1">
        <f t="shared" si="0"/>
        <v>31701</v>
      </c>
      <c r="G24" s="1">
        <v>11605</v>
      </c>
      <c r="H24" s="1">
        <v>90</v>
      </c>
      <c r="I24" s="1">
        <f t="shared" si="1"/>
        <v>41506</v>
      </c>
      <c r="J24" s="1">
        <v>395</v>
      </c>
      <c r="K24" s="1">
        <f t="shared" si="2"/>
        <v>11695</v>
      </c>
      <c r="L24" s="1">
        <v>0</v>
      </c>
      <c r="M24" s="1">
        <f t="shared" si="3"/>
        <v>30206</v>
      </c>
      <c r="N24" s="1">
        <v>30184</v>
      </c>
      <c r="O24" s="1">
        <f t="shared" si="4"/>
        <v>-22</v>
      </c>
      <c r="P24" t="s">
        <v>34</v>
      </c>
    </row>
    <row r="25" spans="1:192" x14ac:dyDescent="0.25">
      <c r="A25" s="6">
        <v>45954</v>
      </c>
      <c r="B25" s="1" t="s">
        <v>18</v>
      </c>
      <c r="C25" s="1">
        <v>30940</v>
      </c>
      <c r="D25" s="1">
        <v>5550</v>
      </c>
      <c r="E25" s="1">
        <v>250</v>
      </c>
      <c r="F25" s="1">
        <f t="shared" si="0"/>
        <v>25140</v>
      </c>
      <c r="G25" s="1">
        <v>6805</v>
      </c>
      <c r="H25" s="1">
        <v>15</v>
      </c>
      <c r="I25" s="1">
        <f t="shared" si="1"/>
        <v>30940</v>
      </c>
      <c r="J25" s="1">
        <v>460</v>
      </c>
      <c r="K25" s="1">
        <f t="shared" si="2"/>
        <v>6820</v>
      </c>
      <c r="L25" s="1">
        <v>133</v>
      </c>
      <c r="M25" s="1">
        <f t="shared" si="3"/>
        <v>24447</v>
      </c>
      <c r="N25" s="1">
        <v>23705</v>
      </c>
      <c r="O25" s="1">
        <f t="shared" si="4"/>
        <v>-742</v>
      </c>
      <c r="P25" s="1" t="s">
        <v>35</v>
      </c>
    </row>
    <row r="26" spans="1:192" x14ac:dyDescent="0.25">
      <c r="A26" s="6">
        <v>45955</v>
      </c>
      <c r="B26" s="1" t="s">
        <v>19</v>
      </c>
      <c r="C26" s="1">
        <v>36314</v>
      </c>
      <c r="D26" s="1">
        <v>6450</v>
      </c>
      <c r="E26" s="1">
        <v>825</v>
      </c>
      <c r="F26" s="1">
        <f t="shared" si="0"/>
        <v>29039</v>
      </c>
      <c r="G26" s="1">
        <v>10577</v>
      </c>
      <c r="H26" s="1">
        <v>1340</v>
      </c>
      <c r="I26" s="1">
        <f t="shared" si="1"/>
        <v>36314</v>
      </c>
      <c r="J26" s="1">
        <v>400</v>
      </c>
      <c r="K26" s="1">
        <f t="shared" si="2"/>
        <v>11917</v>
      </c>
      <c r="L26" s="1">
        <v>0</v>
      </c>
      <c r="M26" s="1">
        <f t="shared" si="3"/>
        <v>24797</v>
      </c>
      <c r="N26" s="1">
        <v>24420</v>
      </c>
      <c r="O26" s="1">
        <f t="shared" si="4"/>
        <v>-377</v>
      </c>
      <c r="P26" s="1" t="s">
        <v>36</v>
      </c>
    </row>
    <row r="27" spans="1:192" x14ac:dyDescent="0.25">
      <c r="A27" s="6">
        <v>45956</v>
      </c>
      <c r="B27" s="1" t="s">
        <v>20</v>
      </c>
      <c r="C27" s="1">
        <v>27256</v>
      </c>
      <c r="D27" s="1">
        <v>6750</v>
      </c>
      <c r="E27" s="1">
        <v>500</v>
      </c>
      <c r="F27" s="1">
        <f t="shared" si="0"/>
        <v>20006</v>
      </c>
      <c r="G27" s="1">
        <v>8516</v>
      </c>
      <c r="H27" s="1">
        <v>200</v>
      </c>
      <c r="I27" s="1">
        <f t="shared" si="1"/>
        <v>27256</v>
      </c>
      <c r="J27" s="1">
        <v>0</v>
      </c>
      <c r="K27" s="1">
        <f t="shared" si="2"/>
        <v>8716</v>
      </c>
      <c r="L27" s="1">
        <v>0</v>
      </c>
      <c r="M27" s="1">
        <f t="shared" si="3"/>
        <v>18540</v>
      </c>
      <c r="N27" s="1">
        <v>18540</v>
      </c>
      <c r="O27" s="1">
        <f t="shared" si="4"/>
        <v>0</v>
      </c>
    </row>
    <row r="28" spans="1:192" x14ac:dyDescent="0.25">
      <c r="A28" s="6">
        <v>45957</v>
      </c>
      <c r="B28" s="1" t="s">
        <v>21</v>
      </c>
      <c r="C28" s="1">
        <v>24389</v>
      </c>
      <c r="D28" s="1">
        <v>5550</v>
      </c>
      <c r="E28" s="1">
        <v>0</v>
      </c>
      <c r="F28" s="1">
        <f t="shared" si="0"/>
        <v>18839</v>
      </c>
      <c r="G28" s="1">
        <v>7462</v>
      </c>
      <c r="H28" s="1">
        <v>22</v>
      </c>
      <c r="I28" s="1">
        <f t="shared" si="1"/>
        <v>24389</v>
      </c>
      <c r="J28" s="1">
        <v>0</v>
      </c>
      <c r="K28" s="1">
        <f t="shared" si="2"/>
        <v>7484</v>
      </c>
      <c r="L28" s="1">
        <v>0</v>
      </c>
      <c r="M28" s="1">
        <f t="shared" si="3"/>
        <v>16905</v>
      </c>
      <c r="N28" s="1">
        <v>16900</v>
      </c>
      <c r="O28" s="1">
        <f t="shared" si="4"/>
        <v>-5</v>
      </c>
    </row>
    <row r="29" spans="1:192" s="2" customFormat="1" x14ac:dyDescent="0.25">
      <c r="A29" s="6">
        <v>45958</v>
      </c>
      <c r="B29" s="1" t="s">
        <v>15</v>
      </c>
      <c r="C29" s="1">
        <v>27464</v>
      </c>
      <c r="D29" s="1">
        <v>6600</v>
      </c>
      <c r="E29" s="1">
        <v>690</v>
      </c>
      <c r="F29" s="1">
        <f>SUM(C29-D29-E29)</f>
        <v>20174</v>
      </c>
      <c r="G29" s="1">
        <v>6719</v>
      </c>
      <c r="H29" s="1">
        <v>16</v>
      </c>
      <c r="I29" s="1">
        <f>SUM(D29,E29,F29)</f>
        <v>27464</v>
      </c>
      <c r="J29" s="1">
        <v>200</v>
      </c>
      <c r="K29" s="1">
        <f t="shared" si="2"/>
        <v>6735</v>
      </c>
      <c r="L29" s="1">
        <v>0</v>
      </c>
      <c r="M29" s="1">
        <f t="shared" si="3"/>
        <v>20929</v>
      </c>
      <c r="N29" s="1">
        <v>20200</v>
      </c>
      <c r="O29" s="1">
        <f t="shared" si="4"/>
        <v>-729</v>
      </c>
      <c r="P29" s="1" t="s">
        <v>37</v>
      </c>
      <c r="Q29" t="s">
        <v>39</v>
      </c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</row>
    <row r="30" spans="1:192" x14ac:dyDescent="0.25">
      <c r="A30" s="6">
        <v>45959</v>
      </c>
      <c r="B30" s="1" t="s">
        <v>16</v>
      </c>
      <c r="C30" s="1">
        <v>21603</v>
      </c>
      <c r="D30" s="1">
        <v>4800</v>
      </c>
      <c r="E30" s="1">
        <v>350</v>
      </c>
      <c r="F30" s="1">
        <f t="shared" si="0"/>
        <v>16453</v>
      </c>
      <c r="G30" s="1">
        <v>5613</v>
      </c>
      <c r="H30" s="1">
        <v>35</v>
      </c>
      <c r="I30" s="1">
        <f t="shared" si="1"/>
        <v>21603</v>
      </c>
      <c r="J30" s="1">
        <v>0</v>
      </c>
      <c r="K30" s="1">
        <f t="shared" si="2"/>
        <v>5648</v>
      </c>
      <c r="L30" s="1">
        <v>0</v>
      </c>
      <c r="M30" s="1">
        <f t="shared" si="3"/>
        <v>15955</v>
      </c>
      <c r="N30" s="1">
        <v>15950</v>
      </c>
      <c r="O30" s="1">
        <f t="shared" si="4"/>
        <v>-5</v>
      </c>
    </row>
    <row r="31" spans="1:192" customFormat="1" x14ac:dyDescent="0.25">
      <c r="A31" s="6">
        <v>45960</v>
      </c>
      <c r="B31" s="1" t="s">
        <v>17</v>
      </c>
      <c r="C31" s="1">
        <v>29129</v>
      </c>
      <c r="D31" s="1">
        <v>6150</v>
      </c>
      <c r="E31" s="1">
        <v>550</v>
      </c>
      <c r="F31" s="1">
        <f t="shared" si="0"/>
        <v>22429</v>
      </c>
      <c r="G31" s="1">
        <v>7442</v>
      </c>
      <c r="H31" s="1">
        <v>170</v>
      </c>
      <c r="I31" s="1">
        <f t="shared" si="1"/>
        <v>29129</v>
      </c>
      <c r="J31" s="1">
        <v>930</v>
      </c>
      <c r="K31" s="1">
        <f t="shared" si="2"/>
        <v>7612</v>
      </c>
      <c r="L31" s="1">
        <v>0</v>
      </c>
      <c r="M31" s="1">
        <f t="shared" si="3"/>
        <v>22447</v>
      </c>
      <c r="N31" s="1">
        <v>22450</v>
      </c>
      <c r="O31" s="1">
        <f t="shared" si="4"/>
        <v>3</v>
      </c>
    </row>
    <row r="32" spans="1:192" x14ac:dyDescent="0.25">
      <c r="A32" s="6">
        <v>45961</v>
      </c>
      <c r="B32" s="1" t="s">
        <v>18</v>
      </c>
      <c r="C32" s="1">
        <v>32686</v>
      </c>
      <c r="D32" s="1">
        <v>7050</v>
      </c>
      <c r="E32" s="1">
        <v>200</v>
      </c>
      <c r="F32" s="1">
        <f t="shared" si="0"/>
        <v>25436</v>
      </c>
      <c r="G32" s="1">
        <v>11402</v>
      </c>
      <c r="H32" s="1">
        <v>500</v>
      </c>
      <c r="I32" s="1">
        <f t="shared" si="1"/>
        <v>32686</v>
      </c>
      <c r="J32" s="1">
        <v>50</v>
      </c>
      <c r="K32" s="1">
        <f t="shared" si="2"/>
        <v>11902</v>
      </c>
      <c r="L32" s="1">
        <v>249</v>
      </c>
      <c r="M32" s="1">
        <f t="shared" si="3"/>
        <v>20585</v>
      </c>
      <c r="N32" s="1">
        <v>20582</v>
      </c>
      <c r="O32" s="1">
        <f t="shared" si="4"/>
        <v>-3</v>
      </c>
    </row>
    <row r="35" spans="3:3" x14ac:dyDescent="0.25">
      <c r="C35" s="1">
        <f>SUM(C2:C32)</f>
        <v>856273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KABILAN</dc:creator>
  <cp:lastModifiedBy>Kabilan Padmanaban</cp:lastModifiedBy>
  <dcterms:created xsi:type="dcterms:W3CDTF">2015-06-05T18:17:20Z</dcterms:created>
  <dcterms:modified xsi:type="dcterms:W3CDTF">2025-11-01T16:33:31Z</dcterms:modified>
</cp:coreProperties>
</file>