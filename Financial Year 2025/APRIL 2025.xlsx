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MONTHY DATE WISE ACCOUNT\COMPLETE MONTHWISE ACCOUNT\"/>
    </mc:Choice>
  </mc:AlternateContent>
  <xr:revisionPtr revIDLastSave="0" documentId="13_ncr:1_{4F4F5EB6-4504-47AE-9F88-F7A79A6AE0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K21" i="1"/>
  <c r="M21" i="1" s="1"/>
  <c r="K28" i="1"/>
  <c r="M28" i="1" s="1"/>
  <c r="K32" i="1"/>
  <c r="M32" i="1" s="1"/>
  <c r="K11" i="1"/>
  <c r="L34" i="1"/>
  <c r="H34" i="1"/>
  <c r="G34" i="1"/>
  <c r="M6" i="1"/>
  <c r="M14" i="1"/>
  <c r="J2" i="1"/>
  <c r="I3" i="1"/>
  <c r="F3" i="1"/>
  <c r="F4" i="1"/>
  <c r="I4" i="1" s="1"/>
  <c r="F5" i="1"/>
  <c r="I5" i="1" s="1"/>
  <c r="F6" i="1"/>
  <c r="I6" i="1" s="1"/>
  <c r="I7" i="1"/>
  <c r="F8" i="1"/>
  <c r="I8" i="1" s="1"/>
  <c r="F9" i="1"/>
  <c r="I9" i="1" s="1"/>
  <c r="F10" i="1"/>
  <c r="I10" i="1" s="1"/>
  <c r="F11" i="1"/>
  <c r="I11" i="1" s="1"/>
  <c r="F12" i="1"/>
  <c r="I12" i="1" s="1"/>
  <c r="K12" i="1" s="1"/>
  <c r="F13" i="1"/>
  <c r="I13" i="1" s="1"/>
  <c r="K13" i="1" s="1"/>
  <c r="M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K23" i="1" s="1"/>
  <c r="M23" i="1" s="1"/>
  <c r="F24" i="1"/>
  <c r="I24" i="1" s="1"/>
  <c r="F25" i="1"/>
  <c r="I25" i="1" s="1"/>
  <c r="K25" i="1" s="1"/>
  <c r="M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F2" i="1"/>
  <c r="I2" i="1" s="1"/>
  <c r="K31" i="1" l="1"/>
  <c r="M31" i="1" s="1"/>
  <c r="K30" i="1"/>
  <c r="M30" i="1" s="1"/>
  <c r="K29" i="1"/>
  <c r="M29" i="1" s="1"/>
  <c r="K27" i="1"/>
  <c r="M27" i="1" s="1"/>
  <c r="K26" i="1"/>
  <c r="M26" i="1" s="1"/>
  <c r="K24" i="1"/>
  <c r="M24" i="1" s="1"/>
  <c r="K22" i="1"/>
  <c r="M22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I34" i="1"/>
  <c r="K9" i="1"/>
  <c r="M9" i="1" s="1"/>
  <c r="K5" i="1"/>
  <c r="M5" i="1" s="1"/>
  <c r="M12" i="1"/>
  <c r="K8" i="1"/>
  <c r="M8" i="1" s="1"/>
  <c r="K4" i="1"/>
  <c r="M4" i="1" s="1"/>
  <c r="K2" i="1"/>
  <c r="M11" i="1"/>
  <c r="K7" i="1"/>
  <c r="M7" i="1" s="1"/>
  <c r="K3" i="1"/>
  <c r="K10" i="1"/>
  <c r="K6" i="1"/>
  <c r="M3" i="1"/>
  <c r="M2" i="1"/>
  <c r="K34" i="1" l="1"/>
  <c r="M10" i="1"/>
</calcChain>
</file>

<file path=xl/sharedStrings.xml><?xml version="1.0" encoding="utf-8"?>
<sst xmlns="http://schemas.openxmlformats.org/spreadsheetml/2006/main" count="48" uniqueCount="25">
  <si>
    <t>DATE</t>
  </si>
  <si>
    <t>INJECTION</t>
  </si>
  <si>
    <t>GPAY</t>
  </si>
  <si>
    <t>GPAY&amp;EXPENCE</t>
  </si>
  <si>
    <t>TOTAL CASH</t>
  </si>
  <si>
    <t>NOTES</t>
  </si>
  <si>
    <t>TOTAL OP CHARGE</t>
  </si>
  <si>
    <t>TOTAL SALE AMOUNT IN COMPUTER</t>
  </si>
  <si>
    <t xml:space="preserve">TOTAL MEDICINE SALE </t>
  </si>
  <si>
    <t xml:space="preserve">TOTAL </t>
  </si>
  <si>
    <t>TOTAL CASH GIVEN</t>
  </si>
  <si>
    <t>EXCESS/DEFECIT</t>
  </si>
  <si>
    <t>DAY</t>
  </si>
  <si>
    <t>TUESDAY</t>
  </si>
  <si>
    <t>WEDNESDAY</t>
  </si>
  <si>
    <t>THURSDAY</t>
  </si>
  <si>
    <t>FRIDAY</t>
  </si>
  <si>
    <t>SATURDAY</t>
  </si>
  <si>
    <t>SUNDAY</t>
  </si>
  <si>
    <t>MONDAY</t>
  </si>
  <si>
    <t>EXPENSE</t>
  </si>
  <si>
    <t>182 pending</t>
  </si>
  <si>
    <t>jenifer payment</t>
  </si>
  <si>
    <t>500 for gst filing</t>
  </si>
  <si>
    <t>200 for battrey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</si>
</sst>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2" borderId="0" xfId="1" applyNumberFormat="1" applyAlignment="1">
      <alignment horizontal="center"/>
    </xf>
    <xf numFmtId="0" fontId="2" fillId="3" borderId="0" xfId="2" applyAlignment="1">
      <alignment horizontal="center"/>
    </xf>
    <xf numFmtId="0" fontId="1" fillId="2" borderId="0" xfId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zoomScale="84" zoomScaleNormal="84" workbookViewId="0">
      <selection activeCell="C17" sqref="C17"/>
    </sheetView>
  </sheetViews>
  <sheetFormatPr defaultRowHeight="15" x14ac:dyDescent="0.25"/>
  <cols>
    <col min="1" max="2" width="23.140625" style="1" customWidth="1"/>
    <col min="3" max="3" width="33.140625" style="1" bestFit="1" customWidth="1"/>
    <col min="4" max="4" width="27.42578125" style="1" customWidth="1"/>
    <col min="5" max="5" width="10.85546875" style="1" customWidth="1"/>
    <col min="6" max="6" width="23.28515625" style="1" customWidth="1"/>
    <col min="7" max="7" width="13.7109375" style="1" customWidth="1"/>
    <col min="8" max="8" width="16.42578125" style="1" customWidth="1"/>
    <col min="9" max="9" width="15.5703125" style="1" customWidth="1"/>
    <col min="10" max="10" width="19.85546875" style="1" customWidth="1"/>
    <col min="11" max="11" width="24.140625" style="1" customWidth="1"/>
    <col min="12" max="12" width="18" style="1" bestFit="1" customWidth="1"/>
    <col min="13" max="13" width="15.28515625" style="1" bestFit="1" customWidth="1"/>
    <col min="14" max="14" width="17.7109375" style="1" customWidth="1"/>
    <col min="15" max="16384" width="9.140625" style="1"/>
  </cols>
  <sheetData>
    <row r="1" spans="1:14" x14ac:dyDescent="0.25">
      <c r="A1" s="1" t="s">
        <v>0</v>
      </c>
      <c r="B1" s="1" t="s">
        <v>12</v>
      </c>
      <c r="C1" s="1" t="s">
        <v>7</v>
      </c>
      <c r="D1" s="1" t="s">
        <v>6</v>
      </c>
      <c r="E1" s="1" t="s">
        <v>1</v>
      </c>
      <c r="F1" s="1" t="s">
        <v>8</v>
      </c>
      <c r="G1" s="1" t="s">
        <v>2</v>
      </c>
      <c r="H1" s="1" t="s">
        <v>20</v>
      </c>
      <c r="I1" s="1" t="s">
        <v>9</v>
      </c>
      <c r="J1" s="1" t="s">
        <v>3</v>
      </c>
      <c r="K1" s="1" t="s">
        <v>4</v>
      </c>
      <c r="L1" s="1" t="s">
        <v>10</v>
      </c>
      <c r="M1" s="1" t="s">
        <v>11</v>
      </c>
      <c r="N1" s="1" t="s">
        <v>5</v>
      </c>
    </row>
    <row r="2" spans="1:14" x14ac:dyDescent="0.25">
      <c r="A2" s="2">
        <v>45748</v>
      </c>
      <c r="B2" s="2" t="s">
        <v>13</v>
      </c>
      <c r="C2" s="1">
        <v>14853</v>
      </c>
      <c r="D2" s="1">
        <v>3500</v>
      </c>
      <c r="E2" s="1">
        <v>459</v>
      </c>
      <c r="F2" s="1">
        <f>SUM(C2-D2-E2)</f>
        <v>10894</v>
      </c>
      <c r="G2" s="1">
        <v>3645</v>
      </c>
      <c r="H2" s="1">
        <v>50</v>
      </c>
      <c r="I2" s="1">
        <f>SUM(D2,E2,F2)</f>
        <v>14853</v>
      </c>
      <c r="J2" s="1">
        <f>SUM(G2,H2)</f>
        <v>3695</v>
      </c>
      <c r="K2" s="1">
        <f t="shared" ref="K2:K10" si="0">SUM(I2-J2)</f>
        <v>11158</v>
      </c>
      <c r="L2" s="1">
        <v>11250</v>
      </c>
      <c r="M2" s="1">
        <f>SUM(L2-K2)</f>
        <v>92</v>
      </c>
    </row>
    <row r="3" spans="1:14" x14ac:dyDescent="0.25">
      <c r="A3" s="2">
        <v>45749</v>
      </c>
      <c r="B3" s="2" t="s">
        <v>14</v>
      </c>
      <c r="C3" s="1">
        <v>14926</v>
      </c>
      <c r="D3" s="1">
        <v>1200</v>
      </c>
      <c r="E3" s="1">
        <v>417</v>
      </c>
      <c r="F3" s="1">
        <f>SUM(C3-D3-E3)</f>
        <v>13309</v>
      </c>
      <c r="G3" s="1">
        <v>6896</v>
      </c>
      <c r="H3" s="1">
        <v>70</v>
      </c>
      <c r="I3" s="1">
        <f>SUM(D3,E3,F3)</f>
        <v>14926</v>
      </c>
      <c r="J3" s="1">
        <f t="shared" ref="J3:J32" si="1">SUM(G3+H3)</f>
        <v>6966</v>
      </c>
      <c r="K3" s="1">
        <f t="shared" si="0"/>
        <v>7960</v>
      </c>
      <c r="L3" s="1">
        <v>8150</v>
      </c>
      <c r="M3" s="1">
        <f>SUM(L3-K3)</f>
        <v>190</v>
      </c>
    </row>
    <row r="4" spans="1:14" x14ac:dyDescent="0.25">
      <c r="A4" s="2">
        <v>45750</v>
      </c>
      <c r="B4" s="2" t="s">
        <v>15</v>
      </c>
      <c r="C4" s="1">
        <v>12068</v>
      </c>
      <c r="D4" s="1">
        <v>2850</v>
      </c>
      <c r="E4" s="1">
        <v>349</v>
      </c>
      <c r="F4" s="1">
        <f t="shared" ref="F4:F32" si="2">SUM(C4-D4-E4)</f>
        <v>8869</v>
      </c>
      <c r="G4" s="1">
        <v>1180</v>
      </c>
      <c r="H4" s="1">
        <v>50</v>
      </c>
      <c r="I4" s="1">
        <f t="shared" ref="I4:I32" si="3">SUM(D4+E4+F4)</f>
        <v>12068</v>
      </c>
      <c r="J4" s="1">
        <f t="shared" si="1"/>
        <v>1230</v>
      </c>
      <c r="K4" s="1">
        <f t="shared" si="0"/>
        <v>10838</v>
      </c>
      <c r="L4" s="1">
        <v>11200</v>
      </c>
      <c r="M4" s="1">
        <f>SUM(L4-K4)</f>
        <v>362</v>
      </c>
    </row>
    <row r="5" spans="1:14" x14ac:dyDescent="0.25">
      <c r="A5" s="2">
        <v>45751</v>
      </c>
      <c r="B5" s="2" t="s">
        <v>16</v>
      </c>
      <c r="C5" s="1">
        <v>15020</v>
      </c>
      <c r="D5" s="1">
        <v>3200</v>
      </c>
      <c r="E5" s="1">
        <v>54</v>
      </c>
      <c r="F5" s="1">
        <f t="shared" si="2"/>
        <v>11766</v>
      </c>
      <c r="G5" s="1">
        <v>2023</v>
      </c>
      <c r="H5" s="1">
        <v>298</v>
      </c>
      <c r="I5" s="1">
        <f t="shared" si="3"/>
        <v>15020</v>
      </c>
      <c r="J5" s="1">
        <f t="shared" si="1"/>
        <v>2321</v>
      </c>
      <c r="K5" s="1">
        <f t="shared" si="0"/>
        <v>12699</v>
      </c>
      <c r="L5" s="4">
        <v>13200</v>
      </c>
      <c r="M5" s="1">
        <f t="shared" ref="M5:M32" si="4">SUM(L5-K5)</f>
        <v>501</v>
      </c>
    </row>
    <row r="6" spans="1:14" x14ac:dyDescent="0.25">
      <c r="A6" s="2">
        <v>45752</v>
      </c>
      <c r="B6" s="2" t="s">
        <v>17</v>
      </c>
      <c r="C6" s="1">
        <v>7443</v>
      </c>
      <c r="D6" s="1">
        <v>1800</v>
      </c>
      <c r="E6" s="1">
        <v>559</v>
      </c>
      <c r="F6" s="1">
        <f t="shared" si="2"/>
        <v>5084</v>
      </c>
      <c r="G6" s="1">
        <v>1006</v>
      </c>
      <c r="H6" s="1">
        <v>329</v>
      </c>
      <c r="I6" s="1">
        <f t="shared" si="3"/>
        <v>7443</v>
      </c>
      <c r="J6" s="1">
        <f t="shared" si="1"/>
        <v>1335</v>
      </c>
      <c r="K6" s="1">
        <f t="shared" si="0"/>
        <v>6108</v>
      </c>
      <c r="L6" s="1">
        <v>6140</v>
      </c>
      <c r="M6" s="1">
        <f t="shared" si="4"/>
        <v>32</v>
      </c>
    </row>
    <row r="7" spans="1:14" s="5" customFormat="1" x14ac:dyDescent="0.25">
      <c r="A7" s="3">
        <v>45753</v>
      </c>
      <c r="B7" s="3" t="s">
        <v>18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f t="shared" si="3"/>
        <v>0</v>
      </c>
      <c r="J7" s="5">
        <f t="shared" si="1"/>
        <v>0</v>
      </c>
      <c r="K7" s="5">
        <f t="shared" si="0"/>
        <v>0</v>
      </c>
      <c r="L7" s="5">
        <v>0</v>
      </c>
      <c r="M7" s="5">
        <f t="shared" si="4"/>
        <v>0</v>
      </c>
    </row>
    <row r="8" spans="1:14" x14ac:dyDescent="0.25">
      <c r="A8" s="2">
        <v>45754</v>
      </c>
      <c r="B8" s="2" t="s">
        <v>19</v>
      </c>
      <c r="C8" s="1">
        <v>17556</v>
      </c>
      <c r="D8" s="1">
        <v>4550</v>
      </c>
      <c r="E8" s="1">
        <v>649</v>
      </c>
      <c r="F8" s="1">
        <f t="shared" si="2"/>
        <v>12357</v>
      </c>
      <c r="G8" s="1">
        <v>2777</v>
      </c>
      <c r="H8" s="1">
        <v>50</v>
      </c>
      <c r="I8" s="1">
        <f t="shared" si="3"/>
        <v>17556</v>
      </c>
      <c r="J8" s="1">
        <f t="shared" si="1"/>
        <v>2827</v>
      </c>
      <c r="K8" s="1">
        <f t="shared" si="0"/>
        <v>14729</v>
      </c>
      <c r="L8" s="1">
        <v>15280</v>
      </c>
      <c r="M8" s="1">
        <f t="shared" si="4"/>
        <v>551</v>
      </c>
    </row>
    <row r="9" spans="1:14" x14ac:dyDescent="0.25">
      <c r="A9" s="2">
        <v>45755</v>
      </c>
      <c r="B9" s="2" t="s">
        <v>13</v>
      </c>
      <c r="C9" s="1">
        <v>10080</v>
      </c>
      <c r="D9" s="1">
        <v>2900</v>
      </c>
      <c r="E9" s="1">
        <v>693</v>
      </c>
      <c r="F9" s="1">
        <f t="shared" si="2"/>
        <v>6487</v>
      </c>
      <c r="G9" s="1">
        <v>1088</v>
      </c>
      <c r="H9" s="1">
        <v>80</v>
      </c>
      <c r="I9" s="1">
        <f t="shared" si="3"/>
        <v>10080</v>
      </c>
      <c r="J9" s="1">
        <f t="shared" si="1"/>
        <v>1168</v>
      </c>
      <c r="K9" s="1">
        <f t="shared" si="0"/>
        <v>8912</v>
      </c>
      <c r="L9" s="1">
        <v>9200</v>
      </c>
      <c r="M9" s="1">
        <f t="shared" si="4"/>
        <v>288</v>
      </c>
    </row>
    <row r="10" spans="1:14" x14ac:dyDescent="0.25">
      <c r="A10" s="2">
        <v>45756</v>
      </c>
      <c r="B10" s="2" t="s">
        <v>14</v>
      </c>
      <c r="C10" s="1">
        <v>9610</v>
      </c>
      <c r="D10" s="1">
        <v>1900</v>
      </c>
      <c r="E10" s="1">
        <v>717</v>
      </c>
      <c r="F10" s="1">
        <f t="shared" si="2"/>
        <v>6993</v>
      </c>
      <c r="G10" s="1">
        <v>668</v>
      </c>
      <c r="H10" s="1">
        <v>215</v>
      </c>
      <c r="I10" s="1">
        <f t="shared" si="3"/>
        <v>9610</v>
      </c>
      <c r="J10" s="1">
        <f t="shared" si="1"/>
        <v>883</v>
      </c>
      <c r="K10" s="1">
        <f t="shared" si="0"/>
        <v>8727</v>
      </c>
      <c r="L10" s="1">
        <v>8630</v>
      </c>
      <c r="M10" s="1">
        <f t="shared" si="4"/>
        <v>-97</v>
      </c>
    </row>
    <row r="11" spans="1:14" x14ac:dyDescent="0.25">
      <c r="A11" s="2">
        <v>45757</v>
      </c>
      <c r="B11" s="2" t="s">
        <v>15</v>
      </c>
      <c r="C11" s="1">
        <v>11404</v>
      </c>
      <c r="D11" s="1">
        <v>2000</v>
      </c>
      <c r="E11" s="1">
        <v>366</v>
      </c>
      <c r="F11" s="1">
        <f t="shared" si="2"/>
        <v>9038</v>
      </c>
      <c r="G11" s="1">
        <v>4279</v>
      </c>
      <c r="H11" s="1">
        <v>120</v>
      </c>
      <c r="I11" s="1">
        <f t="shared" si="3"/>
        <v>11404</v>
      </c>
      <c r="J11" s="1">
        <f t="shared" si="1"/>
        <v>4399</v>
      </c>
      <c r="K11" s="1">
        <f>SUM(I11-J11)</f>
        <v>7005</v>
      </c>
      <c r="L11" s="1">
        <v>7140</v>
      </c>
      <c r="M11" s="1">
        <f t="shared" si="4"/>
        <v>135</v>
      </c>
    </row>
    <row r="12" spans="1:14" x14ac:dyDescent="0.25">
      <c r="A12" s="2">
        <v>45758</v>
      </c>
      <c r="B12" s="2" t="s">
        <v>16</v>
      </c>
      <c r="C12" s="1">
        <v>9177</v>
      </c>
      <c r="D12" s="1">
        <v>1300</v>
      </c>
      <c r="E12" s="1">
        <v>0</v>
      </c>
      <c r="F12" s="1">
        <f t="shared" si="2"/>
        <v>7877</v>
      </c>
      <c r="G12" s="1">
        <v>2342</v>
      </c>
      <c r="H12" s="1">
        <v>140</v>
      </c>
      <c r="I12" s="1">
        <f>SUM(D12+E12+F12)</f>
        <v>9177</v>
      </c>
      <c r="J12" s="1">
        <f t="shared" si="1"/>
        <v>2482</v>
      </c>
      <c r="K12" s="1">
        <f t="shared" ref="K12:K32" si="5">SUM(I12-J12)</f>
        <v>6695</v>
      </c>
      <c r="L12" s="1">
        <v>6900</v>
      </c>
      <c r="M12" s="1">
        <f t="shared" si="4"/>
        <v>205</v>
      </c>
    </row>
    <row r="13" spans="1:14" x14ac:dyDescent="0.25">
      <c r="A13" s="2">
        <v>45759</v>
      </c>
      <c r="B13" s="2" t="s">
        <v>17</v>
      </c>
      <c r="C13" s="1">
        <v>12422</v>
      </c>
      <c r="D13" s="1">
        <v>2750</v>
      </c>
      <c r="E13" s="1">
        <v>309</v>
      </c>
      <c r="F13" s="1">
        <f t="shared" si="2"/>
        <v>9363</v>
      </c>
      <c r="G13" s="1">
        <v>2923</v>
      </c>
      <c r="H13" s="1">
        <v>222</v>
      </c>
      <c r="I13" s="1">
        <f t="shared" si="3"/>
        <v>12422</v>
      </c>
      <c r="J13" s="1">
        <f t="shared" si="1"/>
        <v>3145</v>
      </c>
      <c r="K13" s="1">
        <f t="shared" si="5"/>
        <v>9277</v>
      </c>
      <c r="L13" s="1">
        <v>9300</v>
      </c>
      <c r="M13" s="1">
        <f t="shared" si="4"/>
        <v>23</v>
      </c>
    </row>
    <row r="14" spans="1:14" s="5" customFormat="1" x14ac:dyDescent="0.25">
      <c r="A14" s="3">
        <v>45760</v>
      </c>
      <c r="B14" s="3" t="s">
        <v>18</v>
      </c>
      <c r="F14" s="5">
        <f t="shared" si="2"/>
        <v>0</v>
      </c>
      <c r="I14" s="5">
        <f t="shared" si="3"/>
        <v>0</v>
      </c>
      <c r="J14" s="5">
        <f t="shared" si="1"/>
        <v>0</v>
      </c>
      <c r="K14" s="5">
        <f t="shared" si="5"/>
        <v>0</v>
      </c>
      <c r="M14" s="5">
        <f t="shared" si="4"/>
        <v>0</v>
      </c>
    </row>
    <row r="15" spans="1:14" x14ac:dyDescent="0.25">
      <c r="A15" s="2">
        <v>45761</v>
      </c>
      <c r="B15" s="2" t="s">
        <v>19</v>
      </c>
      <c r="C15" s="1">
        <v>4751</v>
      </c>
      <c r="D15" s="1">
        <v>300</v>
      </c>
      <c r="E15" s="1">
        <v>27</v>
      </c>
      <c r="F15" s="1">
        <f t="shared" si="2"/>
        <v>4424</v>
      </c>
      <c r="G15" s="1">
        <v>950</v>
      </c>
      <c r="H15" s="1">
        <v>0</v>
      </c>
      <c r="I15" s="1">
        <f t="shared" si="3"/>
        <v>4751</v>
      </c>
      <c r="J15" s="1">
        <f t="shared" si="1"/>
        <v>950</v>
      </c>
      <c r="K15" s="1">
        <f t="shared" si="5"/>
        <v>3801</v>
      </c>
      <c r="L15" s="1">
        <v>3840</v>
      </c>
      <c r="M15" s="1">
        <f t="shared" si="4"/>
        <v>39</v>
      </c>
    </row>
    <row r="16" spans="1:14" x14ac:dyDescent="0.25">
      <c r="A16" s="2">
        <v>45762</v>
      </c>
      <c r="B16" s="2" t="s">
        <v>13</v>
      </c>
      <c r="C16" s="1">
        <v>16022</v>
      </c>
      <c r="D16" s="1">
        <v>3300</v>
      </c>
      <c r="E16" s="1">
        <v>286</v>
      </c>
      <c r="F16" s="1">
        <f t="shared" si="2"/>
        <v>12436</v>
      </c>
      <c r="G16" s="1">
        <v>2855</v>
      </c>
      <c r="H16" s="1">
        <v>213</v>
      </c>
      <c r="I16" s="1">
        <f t="shared" si="3"/>
        <v>16022</v>
      </c>
      <c r="J16" s="1">
        <f t="shared" si="1"/>
        <v>3068</v>
      </c>
      <c r="K16" s="1">
        <f t="shared" si="5"/>
        <v>12954</v>
      </c>
      <c r="L16" s="1">
        <v>12930</v>
      </c>
      <c r="M16" s="1">
        <f t="shared" si="4"/>
        <v>-24</v>
      </c>
    </row>
    <row r="17" spans="1:14" x14ac:dyDescent="0.25">
      <c r="A17" s="2">
        <v>45763</v>
      </c>
      <c r="B17" s="2" t="s">
        <v>14</v>
      </c>
      <c r="C17" s="1">
        <v>16347</v>
      </c>
      <c r="D17" s="1">
        <v>2350</v>
      </c>
      <c r="E17" s="1">
        <v>837</v>
      </c>
      <c r="F17" s="1">
        <f t="shared" si="2"/>
        <v>13160</v>
      </c>
      <c r="G17" s="1">
        <v>4635</v>
      </c>
      <c r="H17" s="1">
        <v>547</v>
      </c>
      <c r="I17" s="1">
        <f t="shared" si="3"/>
        <v>16347</v>
      </c>
      <c r="J17" s="1">
        <f t="shared" si="1"/>
        <v>5182</v>
      </c>
      <c r="K17" s="1">
        <f t="shared" si="5"/>
        <v>11165</v>
      </c>
      <c r="L17" s="1">
        <v>11300</v>
      </c>
      <c r="M17" s="1">
        <f t="shared" si="4"/>
        <v>135</v>
      </c>
    </row>
    <row r="18" spans="1:14" x14ac:dyDescent="0.25">
      <c r="A18" s="2">
        <v>45764</v>
      </c>
      <c r="B18" s="2" t="s">
        <v>15</v>
      </c>
      <c r="C18" s="1">
        <v>12643</v>
      </c>
      <c r="D18" s="1">
        <v>2200</v>
      </c>
      <c r="E18" s="1">
        <v>307</v>
      </c>
      <c r="F18" s="1">
        <f t="shared" si="2"/>
        <v>10136</v>
      </c>
      <c r="G18" s="1">
        <v>3120</v>
      </c>
      <c r="H18" s="1">
        <v>272</v>
      </c>
      <c r="I18" s="1">
        <f t="shared" si="3"/>
        <v>12643</v>
      </c>
      <c r="J18" s="1">
        <f t="shared" si="1"/>
        <v>3392</v>
      </c>
      <c r="K18" s="1">
        <f t="shared" si="5"/>
        <v>9251</v>
      </c>
      <c r="L18" s="1">
        <v>9130</v>
      </c>
      <c r="M18" s="1">
        <f t="shared" si="4"/>
        <v>-121</v>
      </c>
      <c r="N18" s="1" t="s">
        <v>21</v>
      </c>
    </row>
    <row r="19" spans="1:14" x14ac:dyDescent="0.25">
      <c r="A19" s="2">
        <v>45765</v>
      </c>
      <c r="B19" s="2" t="s">
        <v>16</v>
      </c>
      <c r="C19" s="1">
        <v>8957</v>
      </c>
      <c r="D19" s="1">
        <v>2850</v>
      </c>
      <c r="E19" s="1">
        <v>440</v>
      </c>
      <c r="F19" s="1">
        <f t="shared" si="2"/>
        <v>5667</v>
      </c>
      <c r="G19" s="1">
        <v>1139</v>
      </c>
      <c r="H19" s="1">
        <v>60</v>
      </c>
      <c r="I19" s="1">
        <f t="shared" si="3"/>
        <v>8957</v>
      </c>
      <c r="J19" s="1">
        <f t="shared" si="1"/>
        <v>1199</v>
      </c>
      <c r="K19" s="1">
        <f t="shared" si="5"/>
        <v>7758</v>
      </c>
      <c r="L19" s="1">
        <v>7800</v>
      </c>
      <c r="M19" s="1">
        <f t="shared" si="4"/>
        <v>42</v>
      </c>
    </row>
    <row r="20" spans="1:14" x14ac:dyDescent="0.25">
      <c r="A20" s="2">
        <v>45766</v>
      </c>
      <c r="B20" s="2" t="s">
        <v>17</v>
      </c>
      <c r="C20" s="1">
        <v>8253</v>
      </c>
      <c r="D20" s="1">
        <v>1500</v>
      </c>
      <c r="E20" s="1">
        <v>496</v>
      </c>
      <c r="F20" s="1">
        <f t="shared" si="2"/>
        <v>6257</v>
      </c>
      <c r="G20" s="1">
        <v>748</v>
      </c>
      <c r="H20" s="1">
        <v>3937</v>
      </c>
      <c r="I20" s="1">
        <f t="shared" si="3"/>
        <v>8253</v>
      </c>
      <c r="J20" s="1">
        <f t="shared" si="1"/>
        <v>4685</v>
      </c>
      <c r="K20" s="1">
        <f t="shared" si="5"/>
        <v>3568</v>
      </c>
      <c r="L20" s="1">
        <v>3590</v>
      </c>
      <c r="M20" s="1">
        <f t="shared" si="4"/>
        <v>22</v>
      </c>
      <c r="N20" s="1" t="s">
        <v>22</v>
      </c>
    </row>
    <row r="21" spans="1:14" s="5" customFormat="1" x14ac:dyDescent="0.25">
      <c r="A21" s="3">
        <v>45767</v>
      </c>
      <c r="B21" s="3" t="s">
        <v>18</v>
      </c>
      <c r="F21" s="5">
        <f t="shared" si="2"/>
        <v>0</v>
      </c>
      <c r="I21" s="5">
        <f t="shared" si="3"/>
        <v>0</v>
      </c>
      <c r="J21" s="5">
        <f t="shared" si="1"/>
        <v>0</v>
      </c>
      <c r="K21" s="5">
        <f t="shared" si="5"/>
        <v>0</v>
      </c>
      <c r="M21" s="5">
        <f t="shared" si="4"/>
        <v>0</v>
      </c>
    </row>
    <row r="22" spans="1:14" x14ac:dyDescent="0.25">
      <c r="A22" s="2">
        <v>45768</v>
      </c>
      <c r="B22" s="2" t="s">
        <v>19</v>
      </c>
      <c r="C22" s="1">
        <v>18142</v>
      </c>
      <c r="D22" s="1">
        <v>3500</v>
      </c>
      <c r="E22" s="1">
        <v>801</v>
      </c>
      <c r="F22" s="1">
        <f t="shared" si="2"/>
        <v>13841</v>
      </c>
      <c r="G22" s="1">
        <v>2419</v>
      </c>
      <c r="H22" s="1">
        <v>515</v>
      </c>
      <c r="I22" s="1">
        <f t="shared" si="3"/>
        <v>18142</v>
      </c>
      <c r="J22" s="1">
        <f t="shared" si="1"/>
        <v>2934</v>
      </c>
      <c r="K22" s="1">
        <f t="shared" si="5"/>
        <v>15208</v>
      </c>
      <c r="L22" s="1">
        <v>15230</v>
      </c>
      <c r="M22" s="1">
        <f t="shared" si="4"/>
        <v>22</v>
      </c>
    </row>
    <row r="23" spans="1:14" x14ac:dyDescent="0.25">
      <c r="A23" s="2">
        <v>45769</v>
      </c>
      <c r="B23" s="2" t="s">
        <v>13</v>
      </c>
      <c r="C23" s="1">
        <v>16117</v>
      </c>
      <c r="D23" s="1">
        <v>2400</v>
      </c>
      <c r="E23" s="1">
        <v>352</v>
      </c>
      <c r="F23" s="1">
        <f t="shared" si="2"/>
        <v>13365</v>
      </c>
      <c r="G23" s="1">
        <v>5647</v>
      </c>
      <c r="H23" s="1">
        <v>150</v>
      </c>
      <c r="I23" s="1">
        <f t="shared" si="3"/>
        <v>16117</v>
      </c>
      <c r="J23" s="1">
        <f t="shared" si="1"/>
        <v>5797</v>
      </c>
      <c r="K23" s="1">
        <f t="shared" si="5"/>
        <v>10320</v>
      </c>
      <c r="L23" s="1">
        <v>10320</v>
      </c>
      <c r="M23" s="1">
        <f t="shared" si="4"/>
        <v>0</v>
      </c>
    </row>
    <row r="24" spans="1:14" x14ac:dyDescent="0.25">
      <c r="A24" s="2">
        <v>45770</v>
      </c>
      <c r="B24" s="2" t="s">
        <v>14</v>
      </c>
      <c r="C24" s="1">
        <v>6707</v>
      </c>
      <c r="D24" s="1">
        <v>1550</v>
      </c>
      <c r="E24" s="1">
        <v>186</v>
      </c>
      <c r="F24" s="1">
        <f t="shared" si="2"/>
        <v>4971</v>
      </c>
      <c r="G24" s="1">
        <v>505</v>
      </c>
      <c r="H24" s="1">
        <v>710</v>
      </c>
      <c r="I24" s="1">
        <f t="shared" si="3"/>
        <v>6707</v>
      </c>
      <c r="J24" s="1">
        <f t="shared" si="1"/>
        <v>1215</v>
      </c>
      <c r="K24" s="1">
        <f t="shared" si="5"/>
        <v>5492</v>
      </c>
      <c r="L24" s="1">
        <v>5530</v>
      </c>
      <c r="M24" s="1">
        <f t="shared" si="4"/>
        <v>38</v>
      </c>
      <c r="N24" s="1" t="s">
        <v>23</v>
      </c>
    </row>
    <row r="25" spans="1:14" x14ac:dyDescent="0.25">
      <c r="A25" s="2">
        <v>45771</v>
      </c>
      <c r="B25" s="2" t="s">
        <v>15</v>
      </c>
      <c r="C25" s="1">
        <v>20447</v>
      </c>
      <c r="D25" s="1">
        <v>3200</v>
      </c>
      <c r="E25" s="1">
        <v>642</v>
      </c>
      <c r="F25" s="1">
        <f t="shared" si="2"/>
        <v>16605</v>
      </c>
      <c r="G25" s="1">
        <v>12357</v>
      </c>
      <c r="H25" s="1">
        <v>360</v>
      </c>
      <c r="I25" s="1">
        <f t="shared" si="3"/>
        <v>20447</v>
      </c>
      <c r="J25" s="1">
        <f t="shared" si="1"/>
        <v>12717</v>
      </c>
      <c r="K25" s="1">
        <f t="shared" si="5"/>
        <v>7730</v>
      </c>
      <c r="L25" s="1">
        <v>7640</v>
      </c>
      <c r="M25" s="1">
        <f t="shared" si="4"/>
        <v>-90</v>
      </c>
      <c r="N25" s="1" t="s">
        <v>24</v>
      </c>
    </row>
    <row r="26" spans="1:14" x14ac:dyDescent="0.25">
      <c r="A26" s="2">
        <v>45772</v>
      </c>
      <c r="B26" s="2" t="s">
        <v>16</v>
      </c>
      <c r="C26" s="1">
        <v>11229</v>
      </c>
      <c r="D26" s="1">
        <v>2600</v>
      </c>
      <c r="E26" s="1">
        <v>1062</v>
      </c>
      <c r="F26" s="1">
        <f t="shared" si="2"/>
        <v>7567</v>
      </c>
      <c r="G26" s="1">
        <v>345</v>
      </c>
      <c r="H26" s="1">
        <v>130</v>
      </c>
      <c r="I26" s="1">
        <f t="shared" si="3"/>
        <v>11229</v>
      </c>
      <c r="J26" s="1">
        <f t="shared" si="1"/>
        <v>475</v>
      </c>
      <c r="K26" s="1">
        <f t="shared" si="5"/>
        <v>10754</v>
      </c>
      <c r="L26" s="1">
        <v>10800</v>
      </c>
      <c r="M26" s="1">
        <f t="shared" si="4"/>
        <v>46</v>
      </c>
    </row>
    <row r="27" spans="1:14" customFormat="1" x14ac:dyDescent="0.25">
      <c r="A27" s="2">
        <v>45773</v>
      </c>
      <c r="B27" s="1" t="s">
        <v>17</v>
      </c>
      <c r="C27" s="1">
        <v>19122</v>
      </c>
      <c r="D27" s="1">
        <v>3050</v>
      </c>
      <c r="E27" s="1">
        <v>368</v>
      </c>
      <c r="F27" s="1">
        <f t="shared" si="2"/>
        <v>15704</v>
      </c>
      <c r="G27" s="1">
        <v>2939</v>
      </c>
      <c r="H27" s="1">
        <v>200</v>
      </c>
      <c r="I27" s="1">
        <f t="shared" si="3"/>
        <v>19122</v>
      </c>
      <c r="J27" s="1">
        <f t="shared" si="1"/>
        <v>3139</v>
      </c>
      <c r="K27" s="1">
        <f t="shared" si="5"/>
        <v>15983</v>
      </c>
      <c r="L27" s="1">
        <v>16100</v>
      </c>
      <c r="M27" s="1">
        <f t="shared" si="4"/>
        <v>117</v>
      </c>
    </row>
    <row r="28" spans="1:14" s="5" customFormat="1" x14ac:dyDescent="0.25">
      <c r="A28" s="3">
        <v>45774</v>
      </c>
      <c r="B28" s="3" t="s">
        <v>18</v>
      </c>
      <c r="F28" s="5">
        <f t="shared" si="2"/>
        <v>0</v>
      </c>
      <c r="I28" s="5">
        <f t="shared" si="3"/>
        <v>0</v>
      </c>
      <c r="J28" s="5">
        <f t="shared" si="1"/>
        <v>0</v>
      </c>
      <c r="K28" s="5">
        <f t="shared" si="5"/>
        <v>0</v>
      </c>
      <c r="M28" s="5">
        <f t="shared" si="4"/>
        <v>0</v>
      </c>
    </row>
    <row r="29" spans="1:14" x14ac:dyDescent="0.25">
      <c r="A29" s="2">
        <v>45775</v>
      </c>
      <c r="B29" s="2" t="s">
        <v>19</v>
      </c>
      <c r="C29" s="1">
        <v>10645</v>
      </c>
      <c r="D29" s="1">
        <v>2200</v>
      </c>
      <c r="E29" s="1">
        <v>171</v>
      </c>
      <c r="F29" s="1">
        <f t="shared" si="2"/>
        <v>8274</v>
      </c>
      <c r="G29" s="1">
        <v>7899</v>
      </c>
      <c r="H29" s="1">
        <v>135</v>
      </c>
      <c r="I29" s="1">
        <f t="shared" si="3"/>
        <v>10645</v>
      </c>
      <c r="J29" s="1">
        <f t="shared" si="1"/>
        <v>8034</v>
      </c>
      <c r="K29" s="1">
        <f t="shared" si="5"/>
        <v>2611</v>
      </c>
      <c r="L29" s="1">
        <v>2620</v>
      </c>
      <c r="M29" s="1">
        <f t="shared" si="4"/>
        <v>9</v>
      </c>
    </row>
    <row r="30" spans="1:14" x14ac:dyDescent="0.25">
      <c r="A30" s="2">
        <v>45776</v>
      </c>
      <c r="B30" s="2" t="s">
        <v>13</v>
      </c>
      <c r="C30" s="1">
        <v>10742</v>
      </c>
      <c r="D30" s="1">
        <v>2500</v>
      </c>
      <c r="E30" s="1">
        <v>169</v>
      </c>
      <c r="F30" s="1">
        <f t="shared" si="2"/>
        <v>8073</v>
      </c>
      <c r="G30" s="1">
        <v>1934</v>
      </c>
      <c r="H30" s="1">
        <v>160</v>
      </c>
      <c r="I30" s="1">
        <f t="shared" si="3"/>
        <v>10742</v>
      </c>
      <c r="J30" s="1">
        <f t="shared" si="1"/>
        <v>2094</v>
      </c>
      <c r="K30" s="1">
        <f t="shared" si="5"/>
        <v>8648</v>
      </c>
      <c r="L30" s="1">
        <v>8670</v>
      </c>
      <c r="M30" s="1">
        <f t="shared" si="4"/>
        <v>22</v>
      </c>
    </row>
    <row r="31" spans="1:14" x14ac:dyDescent="0.25">
      <c r="A31" s="2">
        <v>45777</v>
      </c>
      <c r="B31" s="2" t="s">
        <v>14</v>
      </c>
      <c r="C31" s="1">
        <v>11193</v>
      </c>
      <c r="D31" s="1">
        <v>1500</v>
      </c>
      <c r="E31" s="1">
        <v>90</v>
      </c>
      <c r="F31" s="1">
        <f t="shared" si="2"/>
        <v>9603</v>
      </c>
      <c r="G31" s="1">
        <v>210</v>
      </c>
      <c r="H31" s="1">
        <v>103</v>
      </c>
      <c r="I31" s="1">
        <f t="shared" si="3"/>
        <v>11193</v>
      </c>
      <c r="J31" s="1">
        <f t="shared" si="1"/>
        <v>313</v>
      </c>
      <c r="K31" s="1">
        <f t="shared" si="5"/>
        <v>10880</v>
      </c>
      <c r="L31" s="1">
        <v>10750</v>
      </c>
      <c r="M31" s="1">
        <f t="shared" si="4"/>
        <v>-130</v>
      </c>
    </row>
    <row r="32" spans="1:14" x14ac:dyDescent="0.25">
      <c r="A32" s="2"/>
      <c r="B32" s="2"/>
      <c r="F32" s="1">
        <f t="shared" si="2"/>
        <v>0</v>
      </c>
      <c r="I32" s="1">
        <f t="shared" si="3"/>
        <v>0</v>
      </c>
      <c r="J32" s="1">
        <f t="shared" si="1"/>
        <v>0</v>
      </c>
      <c r="K32" s="1">
        <f t="shared" si="5"/>
        <v>0</v>
      </c>
      <c r="M32" s="1">
        <f t="shared" si="4"/>
        <v>0</v>
      </c>
    </row>
    <row r="34" spans="7:12" ht="21" x14ac:dyDescent="0.35">
      <c r="G34" s="6">
        <f>SUM(G2:G32)</f>
        <v>76529</v>
      </c>
      <c r="H34" s="6">
        <f>SUM(H2:H32)</f>
        <v>9116</v>
      </c>
      <c r="I34" s="6">
        <f>SUM(I2:I32)</f>
        <v>325876</v>
      </c>
      <c r="K34" s="6">
        <f>SUM(K2:K32)</f>
        <v>240231</v>
      </c>
      <c r="L34" s="6">
        <f>SUM(L2:L32)</f>
        <v>242640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2025-06-26T07:01:01Z</dcterms:modified>
</cp:coreProperties>
</file>