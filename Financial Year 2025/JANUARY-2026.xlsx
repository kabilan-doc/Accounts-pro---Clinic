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:\MONTHY DATE WISE ACCOUNT\ACCOUNTS-2026\"/>
    </mc:Choice>
  </mc:AlternateContent>
  <xr:revisionPtr revIDLastSave="0" documentId="13_ncr:1_{2EE4222C-182B-488F-9EE1-79579492A1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1" l="1"/>
  <c r="K27" i="1"/>
  <c r="K28" i="1"/>
  <c r="K29" i="1"/>
  <c r="K30" i="1"/>
  <c r="K31" i="1"/>
  <c r="K3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M3" i="1"/>
  <c r="M16" i="1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I16" i="1"/>
  <c r="F4" i="1"/>
  <c r="I4" i="1" s="1"/>
  <c r="F5" i="1"/>
  <c r="I5" i="1" s="1"/>
  <c r="F6" i="1"/>
  <c r="I6" i="1" s="1"/>
  <c r="F7" i="1"/>
  <c r="I7" i="1" s="1"/>
  <c r="M7" i="1" s="1"/>
  <c r="F8" i="1"/>
  <c r="I8" i="1" s="1"/>
  <c r="F9" i="1"/>
  <c r="I9" i="1" s="1"/>
  <c r="F10" i="1"/>
  <c r="I10" i="1" s="1"/>
  <c r="F11" i="1"/>
  <c r="I11" i="1" s="1"/>
  <c r="F12" i="1"/>
  <c r="I12" i="1" s="1"/>
  <c r="F13" i="1"/>
  <c r="I13" i="1" s="1"/>
  <c r="F14" i="1"/>
  <c r="I14" i="1" s="1"/>
  <c r="F15" i="1"/>
  <c r="I15" i="1" s="1"/>
  <c r="F16" i="1"/>
  <c r="F17" i="1"/>
  <c r="I17" i="1" s="1"/>
  <c r="F18" i="1"/>
  <c r="I18" i="1" s="1"/>
  <c r="F19" i="1"/>
  <c r="I19" i="1" s="1"/>
  <c r="F20" i="1"/>
  <c r="I20" i="1" s="1"/>
  <c r="F21" i="1"/>
  <c r="I21" i="1" s="1"/>
  <c r="F22" i="1"/>
  <c r="I22" i="1" s="1"/>
  <c r="F23" i="1"/>
  <c r="I23" i="1" s="1"/>
  <c r="F24" i="1"/>
  <c r="I24" i="1" s="1"/>
  <c r="F25" i="1"/>
  <c r="I25" i="1" s="1"/>
  <c r="M25" i="1" s="1"/>
  <c r="O25" i="1" s="1"/>
  <c r="F26" i="1"/>
  <c r="I26" i="1" s="1"/>
  <c r="F27" i="1"/>
  <c r="I27" i="1" s="1"/>
  <c r="F28" i="1"/>
  <c r="I28" i="1" s="1"/>
  <c r="M28" i="1" s="1"/>
  <c r="O28" i="1" s="1"/>
  <c r="F29" i="1"/>
  <c r="I29" i="1" s="1"/>
  <c r="M29" i="1" s="1"/>
  <c r="O29" i="1" s="1"/>
  <c r="F30" i="1"/>
  <c r="I30" i="1" s="1"/>
  <c r="M30" i="1" s="1"/>
  <c r="O30" i="1" s="1"/>
  <c r="F31" i="1"/>
  <c r="I31" i="1" s="1"/>
  <c r="M31" i="1" s="1"/>
  <c r="O31" i="1" s="1"/>
  <c r="F32" i="1"/>
  <c r="I32" i="1" s="1"/>
  <c r="M32" i="1" s="1"/>
  <c r="O32" i="1" s="1"/>
  <c r="F2" i="1"/>
  <c r="I2" i="1" s="1"/>
  <c r="M2" i="1" s="1"/>
  <c r="K2" i="1"/>
  <c r="K3" i="1"/>
  <c r="F3" i="1"/>
  <c r="I3" i="1" s="1"/>
  <c r="M27" i="1" l="1"/>
  <c r="O27" i="1" s="1"/>
  <c r="M26" i="1"/>
  <c r="O26" i="1" s="1"/>
  <c r="M24" i="1"/>
  <c r="M23" i="1"/>
  <c r="M22" i="1"/>
  <c r="M21" i="1"/>
  <c r="M20" i="1"/>
  <c r="M19" i="1"/>
  <c r="M18" i="1"/>
  <c r="M17" i="1"/>
  <c r="M14" i="1"/>
  <c r="M15" i="1"/>
  <c r="M13" i="1"/>
  <c r="M12" i="1"/>
  <c r="M11" i="1"/>
  <c r="M10" i="1"/>
  <c r="M9" i="1"/>
  <c r="M8" i="1"/>
  <c r="M6" i="1"/>
  <c r="M5" i="1"/>
  <c r="M4" i="1"/>
  <c r="O2" i="1"/>
</calcChain>
</file>

<file path=xl/sharedStrings.xml><?xml version="1.0" encoding="utf-8"?>
<sst xmlns="http://schemas.openxmlformats.org/spreadsheetml/2006/main" count="53" uniqueCount="29">
  <si>
    <t>DATE</t>
  </si>
  <si>
    <t>DAY</t>
  </si>
  <si>
    <t>TOTAL SALESAMOUNT IN COMPUTER</t>
  </si>
  <si>
    <t>TOTAL OP CHARGES</t>
  </si>
  <si>
    <t>INJECTION</t>
  </si>
  <si>
    <t>TOTAL MEDICINE SALES</t>
  </si>
  <si>
    <t>GPAY</t>
  </si>
  <si>
    <t>EXPENSE</t>
  </si>
  <si>
    <t>TOTAL</t>
  </si>
  <si>
    <t>GPAY &amp; EXPENSE</t>
  </si>
  <si>
    <t>TOTAL CASH</t>
  </si>
  <si>
    <t>TOTAL CASH GIVEN</t>
  </si>
  <si>
    <t>EXCESS/DEFECIT</t>
  </si>
  <si>
    <t>NOTES</t>
  </si>
  <si>
    <t>Extra</t>
  </si>
  <si>
    <t>EXTRA CHARGE</t>
  </si>
  <si>
    <t>TUESDAY</t>
  </si>
  <si>
    <t>WEDNESDAY</t>
  </si>
  <si>
    <t>THURSDAY</t>
  </si>
  <si>
    <t>FRIDAY</t>
  </si>
  <si>
    <t>SATURDAY</t>
  </si>
  <si>
    <t>SUNDAY</t>
  </si>
  <si>
    <t>MONDAY</t>
  </si>
  <si>
    <t>RETURN</t>
  </si>
  <si>
    <t>due 362</t>
  </si>
  <si>
    <t>65 nageshvari</t>
  </si>
  <si>
    <t>5 DUE SUSILA</t>
  </si>
  <si>
    <t>2985-due pd</t>
  </si>
  <si>
    <t xml:space="preserve">175 due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</si>
</sst>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2" borderId="1" xfId="1" applyAlignment="1">
      <alignment horizontal="center"/>
    </xf>
    <xf numFmtId="164" fontId="3" fillId="3" borderId="0" xfId="2" applyNumberFormat="1" applyAlignment="1">
      <alignment horizontal="center"/>
    </xf>
    <xf numFmtId="0" fontId="3" fillId="3" borderId="0" xfId="2" applyAlignment="1">
      <alignment horizontal="center"/>
    </xf>
    <xf numFmtId="0" fontId="3" fillId="3" borderId="0" xfId="2"/>
  </cellXfs>
  <cellStyles count="3">
    <cellStyle name="Calculation" xfId="1" builtinId="22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abSelected="1" zoomScale="90" zoomScaleNormal="90" workbookViewId="0">
      <selection activeCell="P1" sqref="P1"/>
    </sheetView>
  </sheetViews>
  <sheetFormatPr defaultRowHeight="15" x14ac:dyDescent="0.25"/>
  <cols>
    <col min="1" max="1" width="15.7109375" style="1" bestFit="1" customWidth="1"/>
    <col min="2" max="2" width="12.140625" style="1" bestFit="1" customWidth="1"/>
    <col min="3" max="3" width="34.42578125" style="1" bestFit="1" customWidth="1"/>
    <col min="4" max="4" width="18.5703125" style="1" bestFit="1" customWidth="1"/>
    <col min="5" max="5" width="10.28515625" style="1" bestFit="1" customWidth="1"/>
    <col min="6" max="6" width="21.85546875" style="1" bestFit="1" customWidth="1"/>
    <col min="7" max="7" width="6.7109375" style="1" bestFit="1" customWidth="1"/>
    <col min="8" max="8" width="8.7109375" style="1" bestFit="1" customWidth="1"/>
    <col min="9" max="9" width="6.7109375" style="1" bestFit="1" customWidth="1"/>
    <col min="10" max="10" width="14.42578125" style="1" bestFit="1" customWidth="1"/>
    <col min="11" max="11" width="16.28515625" style="1" bestFit="1" customWidth="1"/>
    <col min="12" max="12" width="8.140625" style="1" bestFit="1" customWidth="1"/>
    <col min="13" max="13" width="11.7109375" style="1" bestFit="1" customWidth="1"/>
    <col min="14" max="14" width="18.140625" style="1" bestFit="1" customWidth="1"/>
    <col min="15" max="15" width="15.28515625" style="1" bestFit="1" customWidth="1"/>
    <col min="16" max="16" width="23.42578125" style="1" bestFit="1" customWidth="1"/>
    <col min="17" max="17" width="5.5703125" style="1" bestFit="1" customWidth="1"/>
    <col min="18" max="16384" width="9.140625" style="1"/>
  </cols>
  <sheetData>
    <row r="1" spans="1:17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15</v>
      </c>
      <c r="K1" s="3" t="s">
        <v>9</v>
      </c>
      <c r="L1" s="3" t="s">
        <v>23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</row>
    <row r="2" spans="1:17" x14ac:dyDescent="0.25">
      <c r="A2" s="2">
        <v>46023</v>
      </c>
      <c r="B2" s="1" t="s">
        <v>18</v>
      </c>
      <c r="C2" s="1">
        <v>11219</v>
      </c>
      <c r="D2" s="1">
        <v>1350</v>
      </c>
      <c r="E2" s="1">
        <v>0</v>
      </c>
      <c r="F2" s="1">
        <f>SUM(C2-D2-E2)</f>
        <v>9869</v>
      </c>
      <c r="G2" s="1">
        <v>3645</v>
      </c>
      <c r="H2" s="1">
        <v>300</v>
      </c>
      <c r="I2" s="1">
        <f>SUM(D2,E2,F2)</f>
        <v>11219</v>
      </c>
      <c r="J2" s="1">
        <v>100</v>
      </c>
      <c r="K2" s="1">
        <f>SUM(G2,H2)</f>
        <v>3945</v>
      </c>
      <c r="L2" s="1">
        <v>0</v>
      </c>
      <c r="M2" s="1">
        <f>SUM(I2,J2-K2-L2)</f>
        <v>7374</v>
      </c>
      <c r="N2" s="1">
        <v>7374</v>
      </c>
      <c r="O2" s="1">
        <f>SUM(N2-M2)</f>
        <v>0</v>
      </c>
    </row>
    <row r="3" spans="1:17" x14ac:dyDescent="0.25">
      <c r="A3" s="2">
        <v>46024</v>
      </c>
      <c r="B3" s="1" t="s">
        <v>19</v>
      </c>
      <c r="C3" s="1">
        <v>31276</v>
      </c>
      <c r="D3" s="1">
        <v>4650</v>
      </c>
      <c r="E3" s="1">
        <v>250</v>
      </c>
      <c r="F3" s="1">
        <f>SUM(C3-D3-E3)</f>
        <v>26376</v>
      </c>
      <c r="G3" s="1">
        <v>3622</v>
      </c>
      <c r="H3" s="1">
        <v>55</v>
      </c>
      <c r="I3" s="1">
        <f>SUM(D3,E3,F3)</f>
        <v>31276</v>
      </c>
      <c r="J3" s="1">
        <v>275</v>
      </c>
      <c r="K3" s="1">
        <f t="shared" ref="K3:K32" si="0">SUM(G3,H3)</f>
        <v>3677</v>
      </c>
      <c r="L3" s="1">
        <v>0</v>
      </c>
      <c r="M3" s="1">
        <f t="shared" ref="M3:M32" si="1">SUM(I3,J3-K3-L3)</f>
        <v>27874</v>
      </c>
      <c r="N3" s="1">
        <v>27872</v>
      </c>
      <c r="O3" s="1">
        <f t="shared" ref="O3:O32" si="2">SUM(N3-M3)</f>
        <v>-2</v>
      </c>
    </row>
    <row r="4" spans="1:17" x14ac:dyDescent="0.25">
      <c r="A4" s="2">
        <v>46025</v>
      </c>
      <c r="B4" s="1" t="s">
        <v>20</v>
      </c>
      <c r="C4" s="1">
        <v>26763</v>
      </c>
      <c r="D4" s="1">
        <v>4050</v>
      </c>
      <c r="E4" s="1">
        <v>250</v>
      </c>
      <c r="F4" s="1">
        <f t="shared" ref="F4:F32" si="3">SUM(C4-D4-E4)</f>
        <v>22463</v>
      </c>
      <c r="G4" s="1">
        <v>4247</v>
      </c>
      <c r="H4" s="1">
        <v>1940</v>
      </c>
      <c r="I4" s="1">
        <f t="shared" ref="I4:I32" si="4">SUM(D4,E4,F4)</f>
        <v>26763</v>
      </c>
      <c r="J4" s="1">
        <v>0</v>
      </c>
      <c r="K4" s="1">
        <f t="shared" si="0"/>
        <v>6187</v>
      </c>
      <c r="L4" s="1">
        <v>56</v>
      </c>
      <c r="M4" s="1">
        <f t="shared" si="1"/>
        <v>20520</v>
      </c>
      <c r="N4" s="1">
        <v>20518</v>
      </c>
      <c r="O4" s="1">
        <f t="shared" si="2"/>
        <v>-2</v>
      </c>
    </row>
    <row r="5" spans="1:17" x14ac:dyDescent="0.25">
      <c r="A5" s="2">
        <v>46026</v>
      </c>
      <c r="B5" s="1" t="s">
        <v>21</v>
      </c>
      <c r="C5" s="1">
        <v>16139</v>
      </c>
      <c r="D5" s="1">
        <v>3300</v>
      </c>
      <c r="E5" s="1">
        <v>150</v>
      </c>
      <c r="F5" s="1">
        <f t="shared" si="3"/>
        <v>12689</v>
      </c>
      <c r="G5" s="1">
        <v>7456</v>
      </c>
      <c r="H5" s="1">
        <v>65</v>
      </c>
      <c r="I5" s="1">
        <f t="shared" si="4"/>
        <v>16139</v>
      </c>
      <c r="J5" s="1">
        <v>410</v>
      </c>
      <c r="K5" s="1">
        <f t="shared" si="0"/>
        <v>7521</v>
      </c>
      <c r="L5" s="1">
        <v>0</v>
      </c>
      <c r="M5" s="1">
        <f t="shared" si="1"/>
        <v>9028</v>
      </c>
      <c r="N5" s="1">
        <v>9027</v>
      </c>
      <c r="O5" s="1">
        <f t="shared" si="2"/>
        <v>-1</v>
      </c>
    </row>
    <row r="6" spans="1:17" x14ac:dyDescent="0.25">
      <c r="A6" s="2">
        <v>46027</v>
      </c>
      <c r="B6" s="1" t="s">
        <v>22</v>
      </c>
      <c r="C6" s="1">
        <v>25036</v>
      </c>
      <c r="D6" s="1">
        <v>3750</v>
      </c>
      <c r="E6" s="1">
        <v>1150</v>
      </c>
      <c r="F6" s="1">
        <f t="shared" si="3"/>
        <v>20136</v>
      </c>
      <c r="G6" s="1">
        <v>11101</v>
      </c>
      <c r="H6" s="1">
        <v>370</v>
      </c>
      <c r="I6" s="1">
        <f t="shared" si="4"/>
        <v>25036</v>
      </c>
      <c r="J6" s="1">
        <v>0</v>
      </c>
      <c r="K6" s="1">
        <f t="shared" si="0"/>
        <v>11471</v>
      </c>
      <c r="L6" s="1">
        <v>0</v>
      </c>
      <c r="M6" s="1">
        <f t="shared" si="1"/>
        <v>13565</v>
      </c>
      <c r="N6" s="1">
        <v>13565</v>
      </c>
      <c r="O6" s="1">
        <f t="shared" si="2"/>
        <v>0</v>
      </c>
    </row>
    <row r="7" spans="1:17" customFormat="1" x14ac:dyDescent="0.25">
      <c r="A7" s="2">
        <v>46028</v>
      </c>
      <c r="B7" s="1" t="s">
        <v>16</v>
      </c>
      <c r="C7" s="1">
        <v>19286</v>
      </c>
      <c r="D7" s="1">
        <v>3150</v>
      </c>
      <c r="E7" s="1">
        <v>500</v>
      </c>
      <c r="F7" s="1">
        <f t="shared" si="3"/>
        <v>15636</v>
      </c>
      <c r="G7" s="1">
        <v>7492</v>
      </c>
      <c r="H7" s="1">
        <v>73</v>
      </c>
      <c r="I7" s="1">
        <f t="shared" si="4"/>
        <v>19286</v>
      </c>
      <c r="J7" s="1">
        <v>300</v>
      </c>
      <c r="K7" s="1">
        <f t="shared" si="0"/>
        <v>7565</v>
      </c>
      <c r="L7" s="1">
        <v>0</v>
      </c>
      <c r="M7" s="1">
        <f t="shared" si="1"/>
        <v>12021</v>
      </c>
      <c r="N7" s="1">
        <v>11657</v>
      </c>
      <c r="O7" s="1">
        <f t="shared" si="2"/>
        <v>-364</v>
      </c>
      <c r="P7" s="1" t="s">
        <v>24</v>
      </c>
    </row>
    <row r="8" spans="1:17" x14ac:dyDescent="0.25">
      <c r="A8" s="2">
        <v>46029</v>
      </c>
      <c r="B8" s="1" t="s">
        <v>17</v>
      </c>
      <c r="C8" s="1">
        <v>19181</v>
      </c>
      <c r="D8" s="1">
        <v>3300</v>
      </c>
      <c r="E8" s="1">
        <v>700</v>
      </c>
      <c r="F8" s="1">
        <f t="shared" si="3"/>
        <v>15181</v>
      </c>
      <c r="G8" s="1">
        <v>6081</v>
      </c>
      <c r="H8" s="1">
        <v>34</v>
      </c>
      <c r="I8" s="1">
        <f t="shared" si="4"/>
        <v>19181</v>
      </c>
      <c r="J8" s="1">
        <v>0</v>
      </c>
      <c r="K8" s="1">
        <f t="shared" si="0"/>
        <v>6115</v>
      </c>
      <c r="L8" s="1">
        <v>0</v>
      </c>
      <c r="M8" s="1">
        <f t="shared" si="1"/>
        <v>13066</v>
      </c>
      <c r="N8" s="1">
        <v>13065</v>
      </c>
      <c r="O8" s="1">
        <f t="shared" si="2"/>
        <v>-1</v>
      </c>
    </row>
    <row r="9" spans="1:17" customFormat="1" x14ac:dyDescent="0.25">
      <c r="A9" s="2">
        <v>46030</v>
      </c>
      <c r="B9" s="1" t="s">
        <v>18</v>
      </c>
      <c r="C9" s="1">
        <v>35295</v>
      </c>
      <c r="D9" s="1">
        <v>4050</v>
      </c>
      <c r="E9" s="1">
        <v>650</v>
      </c>
      <c r="F9" s="1">
        <f t="shared" si="3"/>
        <v>30595</v>
      </c>
      <c r="G9" s="1">
        <v>7878</v>
      </c>
      <c r="H9" s="1">
        <v>222</v>
      </c>
      <c r="I9" s="1">
        <f t="shared" si="4"/>
        <v>35295</v>
      </c>
      <c r="J9" s="1">
        <v>200</v>
      </c>
      <c r="K9" s="1">
        <f t="shared" si="0"/>
        <v>8100</v>
      </c>
      <c r="L9" s="1">
        <v>0</v>
      </c>
      <c r="M9" s="1">
        <f t="shared" si="1"/>
        <v>27395</v>
      </c>
      <c r="N9" s="1">
        <v>24405</v>
      </c>
      <c r="O9" s="1">
        <f t="shared" si="2"/>
        <v>-2990</v>
      </c>
      <c r="P9" s="1" t="s">
        <v>27</v>
      </c>
    </row>
    <row r="10" spans="1:17" x14ac:dyDescent="0.25">
      <c r="A10" s="2">
        <v>46031</v>
      </c>
      <c r="B10" s="1" t="s">
        <v>19</v>
      </c>
      <c r="C10" s="1">
        <v>20933</v>
      </c>
      <c r="D10" s="1">
        <v>3750</v>
      </c>
      <c r="E10" s="1">
        <v>250</v>
      </c>
      <c r="F10" s="1">
        <f t="shared" si="3"/>
        <v>16933</v>
      </c>
      <c r="G10" s="1">
        <v>4609</v>
      </c>
      <c r="H10" s="1">
        <v>365</v>
      </c>
      <c r="I10" s="1">
        <f t="shared" si="4"/>
        <v>20933</v>
      </c>
      <c r="J10" s="1">
        <v>1500</v>
      </c>
      <c r="K10" s="1">
        <f t="shared" si="0"/>
        <v>4974</v>
      </c>
      <c r="L10" s="1">
        <v>0</v>
      </c>
      <c r="M10" s="1">
        <f t="shared" si="1"/>
        <v>17459</v>
      </c>
      <c r="N10" s="1">
        <v>17463</v>
      </c>
      <c r="O10" s="1">
        <f t="shared" si="2"/>
        <v>4</v>
      </c>
    </row>
    <row r="11" spans="1:17" x14ac:dyDescent="0.25">
      <c r="A11" s="2">
        <v>46032</v>
      </c>
      <c r="B11" s="1" t="s">
        <v>20</v>
      </c>
      <c r="C11" s="1">
        <v>17154</v>
      </c>
      <c r="D11" s="1">
        <v>2700</v>
      </c>
      <c r="E11" s="1">
        <v>250</v>
      </c>
      <c r="F11" s="1">
        <f t="shared" si="3"/>
        <v>14204</v>
      </c>
      <c r="G11" s="1">
        <v>3695</v>
      </c>
      <c r="H11" s="1">
        <v>610</v>
      </c>
      <c r="I11" s="1">
        <f t="shared" si="4"/>
        <v>17154</v>
      </c>
      <c r="J11" s="1">
        <v>800</v>
      </c>
      <c r="K11" s="1">
        <f t="shared" si="0"/>
        <v>4305</v>
      </c>
      <c r="L11" s="1">
        <v>0</v>
      </c>
      <c r="M11" s="1">
        <f t="shared" si="1"/>
        <v>13649</v>
      </c>
      <c r="N11" s="1">
        <v>13651</v>
      </c>
      <c r="O11" s="1">
        <f t="shared" si="2"/>
        <v>2</v>
      </c>
    </row>
    <row r="12" spans="1:17" x14ac:dyDescent="0.25">
      <c r="A12" s="2">
        <v>46033</v>
      </c>
      <c r="B12" s="1" t="s">
        <v>21</v>
      </c>
      <c r="C12" s="1">
        <v>2875</v>
      </c>
      <c r="D12" s="1">
        <v>450</v>
      </c>
      <c r="E12" s="1">
        <v>0</v>
      </c>
      <c r="F12" s="1">
        <f t="shared" si="3"/>
        <v>2425</v>
      </c>
      <c r="G12" s="1">
        <v>228</v>
      </c>
      <c r="H12" s="1">
        <v>250</v>
      </c>
      <c r="I12" s="1">
        <f t="shared" si="4"/>
        <v>2875</v>
      </c>
      <c r="J12" s="1">
        <v>30</v>
      </c>
      <c r="K12" s="1">
        <f t="shared" si="0"/>
        <v>478</v>
      </c>
      <c r="L12" s="1">
        <v>0</v>
      </c>
      <c r="M12" s="1">
        <f t="shared" si="1"/>
        <v>2427</v>
      </c>
      <c r="N12" s="1">
        <v>2429</v>
      </c>
      <c r="O12" s="1">
        <f t="shared" si="2"/>
        <v>2</v>
      </c>
    </row>
    <row r="13" spans="1:17" x14ac:dyDescent="0.25">
      <c r="A13" s="2">
        <v>46034</v>
      </c>
      <c r="B13" s="1" t="s">
        <v>22</v>
      </c>
      <c r="C13" s="1">
        <v>15619</v>
      </c>
      <c r="D13" s="1">
        <v>1950</v>
      </c>
      <c r="E13" s="1">
        <v>600</v>
      </c>
      <c r="F13" s="1">
        <f t="shared" si="3"/>
        <v>13069</v>
      </c>
      <c r="G13" s="1">
        <v>2971</v>
      </c>
      <c r="H13" s="1">
        <v>256</v>
      </c>
      <c r="I13" s="1">
        <f t="shared" si="4"/>
        <v>15619</v>
      </c>
      <c r="J13" s="1">
        <v>1030</v>
      </c>
      <c r="K13" s="1">
        <f t="shared" si="0"/>
        <v>3227</v>
      </c>
      <c r="L13" s="1">
        <v>0</v>
      </c>
      <c r="M13" s="1">
        <f t="shared" si="1"/>
        <v>13422</v>
      </c>
      <c r="N13" s="1">
        <v>13422</v>
      </c>
      <c r="O13" s="1">
        <f t="shared" si="2"/>
        <v>0</v>
      </c>
    </row>
    <row r="14" spans="1:17" customFormat="1" x14ac:dyDescent="0.25">
      <c r="A14" s="2">
        <v>46035</v>
      </c>
      <c r="B14" s="1" t="s">
        <v>16</v>
      </c>
      <c r="C14" s="1">
        <v>26842</v>
      </c>
      <c r="D14" s="1">
        <v>3450</v>
      </c>
      <c r="E14" s="1">
        <v>300</v>
      </c>
      <c r="F14" s="1">
        <f t="shared" si="3"/>
        <v>23092</v>
      </c>
      <c r="G14" s="1">
        <v>6502</v>
      </c>
      <c r="H14" s="1">
        <v>0</v>
      </c>
      <c r="I14" s="1">
        <f t="shared" si="4"/>
        <v>26842</v>
      </c>
      <c r="J14" s="1">
        <v>2600</v>
      </c>
      <c r="K14" s="1">
        <f t="shared" si="0"/>
        <v>6502</v>
      </c>
      <c r="L14" s="1">
        <v>0</v>
      </c>
      <c r="M14" s="1">
        <f t="shared" si="1"/>
        <v>22940</v>
      </c>
      <c r="N14" s="1">
        <v>22875</v>
      </c>
      <c r="O14" s="1">
        <f t="shared" si="2"/>
        <v>-65</v>
      </c>
      <c r="P14" s="1" t="s">
        <v>25</v>
      </c>
    </row>
    <row r="15" spans="1:17" x14ac:dyDescent="0.25">
      <c r="A15" s="2">
        <v>46036</v>
      </c>
      <c r="B15" s="1" t="s">
        <v>17</v>
      </c>
      <c r="C15" s="1">
        <v>35202</v>
      </c>
      <c r="D15" s="1">
        <v>5100</v>
      </c>
      <c r="E15" s="1">
        <v>600</v>
      </c>
      <c r="F15" s="1">
        <f t="shared" si="3"/>
        <v>29502</v>
      </c>
      <c r="G15" s="1">
        <v>8105</v>
      </c>
      <c r="H15" s="1">
        <v>315</v>
      </c>
      <c r="I15" s="1">
        <f t="shared" si="4"/>
        <v>35202</v>
      </c>
      <c r="J15" s="1">
        <v>30</v>
      </c>
      <c r="K15" s="1">
        <f t="shared" si="0"/>
        <v>8420</v>
      </c>
      <c r="L15" s="1">
        <v>0</v>
      </c>
      <c r="M15" s="1">
        <f t="shared" si="1"/>
        <v>26812</v>
      </c>
      <c r="N15" s="1">
        <v>26808</v>
      </c>
      <c r="O15" s="1">
        <f t="shared" si="2"/>
        <v>-4</v>
      </c>
    </row>
    <row r="16" spans="1:17" s="6" customFormat="1" x14ac:dyDescent="0.25">
      <c r="A16" s="4">
        <v>46037</v>
      </c>
      <c r="B16" s="5" t="s">
        <v>18</v>
      </c>
      <c r="F16" s="5">
        <f t="shared" si="3"/>
        <v>0</v>
      </c>
      <c r="I16" s="5">
        <f t="shared" si="4"/>
        <v>0</v>
      </c>
      <c r="K16" s="5">
        <f t="shared" si="0"/>
        <v>0</v>
      </c>
      <c r="M16" s="5">
        <f t="shared" si="1"/>
        <v>0</v>
      </c>
      <c r="O16" s="5">
        <f t="shared" si="2"/>
        <v>0</v>
      </c>
      <c r="P16" s="5"/>
    </row>
    <row r="17" spans="1:16" x14ac:dyDescent="0.25">
      <c r="A17" s="2">
        <v>46038</v>
      </c>
      <c r="B17" s="1" t="s">
        <v>19</v>
      </c>
      <c r="C17" s="1">
        <v>16597</v>
      </c>
      <c r="D17" s="1">
        <v>2700</v>
      </c>
      <c r="E17" s="1">
        <v>300</v>
      </c>
      <c r="F17" s="1">
        <f t="shared" si="3"/>
        <v>13597</v>
      </c>
      <c r="G17" s="1">
        <v>6337</v>
      </c>
      <c r="H17" s="1">
        <v>0</v>
      </c>
      <c r="I17" s="1">
        <f t="shared" si="4"/>
        <v>16597</v>
      </c>
      <c r="J17" s="1">
        <v>150</v>
      </c>
      <c r="K17" s="1">
        <f t="shared" si="0"/>
        <v>6337</v>
      </c>
      <c r="L17" s="1">
        <v>0</v>
      </c>
      <c r="M17" s="1">
        <f t="shared" si="1"/>
        <v>10410</v>
      </c>
      <c r="N17" s="1">
        <v>10411</v>
      </c>
      <c r="O17" s="1">
        <f t="shared" si="2"/>
        <v>1</v>
      </c>
    </row>
    <row r="18" spans="1:16" x14ac:dyDescent="0.25">
      <c r="A18" s="2">
        <v>46039</v>
      </c>
      <c r="B18" s="1" t="s">
        <v>20</v>
      </c>
      <c r="C18" s="1">
        <v>28480</v>
      </c>
      <c r="D18" s="1">
        <v>4350</v>
      </c>
      <c r="E18" s="1">
        <v>600</v>
      </c>
      <c r="F18" s="1">
        <f t="shared" si="3"/>
        <v>23530</v>
      </c>
      <c r="G18" s="1">
        <v>11422</v>
      </c>
      <c r="H18" s="1">
        <v>60</v>
      </c>
      <c r="I18" s="1">
        <f t="shared" si="4"/>
        <v>28480</v>
      </c>
      <c r="J18" s="1">
        <v>50</v>
      </c>
      <c r="K18" s="1">
        <f t="shared" si="0"/>
        <v>11482</v>
      </c>
      <c r="L18" s="1">
        <v>259</v>
      </c>
      <c r="M18" s="1">
        <f t="shared" si="1"/>
        <v>16789</v>
      </c>
      <c r="N18" s="1">
        <v>16812</v>
      </c>
      <c r="O18" s="1">
        <f t="shared" si="2"/>
        <v>23</v>
      </c>
    </row>
    <row r="19" spans="1:16" x14ac:dyDescent="0.25">
      <c r="A19" s="2">
        <v>46040</v>
      </c>
      <c r="B19" s="1" t="s">
        <v>21</v>
      </c>
      <c r="C19" s="1">
        <v>19464</v>
      </c>
      <c r="D19" s="1">
        <v>3450</v>
      </c>
      <c r="E19" s="1">
        <v>400</v>
      </c>
      <c r="F19" s="1">
        <f t="shared" si="3"/>
        <v>15614</v>
      </c>
      <c r="G19" s="1">
        <v>7874</v>
      </c>
      <c r="H19" s="1">
        <v>0</v>
      </c>
      <c r="I19" s="1">
        <f t="shared" si="4"/>
        <v>19464</v>
      </c>
      <c r="J19" s="1">
        <v>500</v>
      </c>
      <c r="K19" s="1">
        <f t="shared" si="0"/>
        <v>7874</v>
      </c>
      <c r="L19" s="1">
        <v>97</v>
      </c>
      <c r="M19" s="1">
        <f t="shared" si="1"/>
        <v>11993</v>
      </c>
      <c r="N19" s="1">
        <v>11994</v>
      </c>
      <c r="O19" s="1">
        <f t="shared" si="2"/>
        <v>1</v>
      </c>
    </row>
    <row r="20" spans="1:16" x14ac:dyDescent="0.25">
      <c r="A20" s="2">
        <v>46041</v>
      </c>
      <c r="B20" s="1" t="s">
        <v>22</v>
      </c>
      <c r="C20" s="1">
        <v>34423</v>
      </c>
      <c r="D20" s="1">
        <v>4650</v>
      </c>
      <c r="E20" s="1">
        <v>450</v>
      </c>
      <c r="F20" s="1">
        <f t="shared" si="3"/>
        <v>29323</v>
      </c>
      <c r="G20" s="1">
        <v>7079</v>
      </c>
      <c r="H20" s="1">
        <v>30</v>
      </c>
      <c r="I20" s="1">
        <f t="shared" si="4"/>
        <v>34423</v>
      </c>
      <c r="J20" s="1">
        <v>570</v>
      </c>
      <c r="K20" s="1">
        <f t="shared" si="0"/>
        <v>7109</v>
      </c>
      <c r="L20" s="1">
        <v>0</v>
      </c>
      <c r="M20" s="1">
        <f t="shared" si="1"/>
        <v>27884</v>
      </c>
      <c r="N20" s="1">
        <v>27885</v>
      </c>
      <c r="O20" s="1">
        <f t="shared" si="2"/>
        <v>1</v>
      </c>
    </row>
    <row r="21" spans="1:16" customFormat="1" x14ac:dyDescent="0.25">
      <c r="A21" s="2">
        <v>46042</v>
      </c>
      <c r="B21" s="1" t="s">
        <v>16</v>
      </c>
      <c r="C21" s="1">
        <v>26184</v>
      </c>
      <c r="D21" s="1">
        <v>4500</v>
      </c>
      <c r="E21" s="1">
        <v>960</v>
      </c>
      <c r="F21" s="1">
        <f t="shared" si="3"/>
        <v>20724</v>
      </c>
      <c r="G21" s="1">
        <v>10153</v>
      </c>
      <c r="H21" s="1">
        <v>170</v>
      </c>
      <c r="I21" s="1">
        <f t="shared" si="4"/>
        <v>26184</v>
      </c>
      <c r="J21" s="1">
        <v>0</v>
      </c>
      <c r="K21" s="1">
        <f t="shared" si="0"/>
        <v>10323</v>
      </c>
      <c r="L21" s="1">
        <v>0</v>
      </c>
      <c r="M21" s="1">
        <f t="shared" si="1"/>
        <v>15861</v>
      </c>
      <c r="N21" s="1">
        <v>15856</v>
      </c>
      <c r="O21" s="1">
        <f t="shared" si="2"/>
        <v>-5</v>
      </c>
      <c r="P21" s="1"/>
    </row>
    <row r="22" spans="1:16" x14ac:dyDescent="0.25">
      <c r="A22" s="2">
        <v>46043</v>
      </c>
      <c r="B22" s="1" t="s">
        <v>17</v>
      </c>
      <c r="C22" s="1">
        <v>22743</v>
      </c>
      <c r="D22" s="1">
        <v>3900</v>
      </c>
      <c r="E22" s="1">
        <v>450</v>
      </c>
      <c r="F22" s="1">
        <f t="shared" si="3"/>
        <v>18393</v>
      </c>
      <c r="G22" s="1">
        <v>9412</v>
      </c>
      <c r="H22" s="1">
        <v>255</v>
      </c>
      <c r="I22" s="1">
        <f t="shared" si="4"/>
        <v>22743</v>
      </c>
      <c r="J22" s="1">
        <v>150</v>
      </c>
      <c r="K22" s="1">
        <f t="shared" si="0"/>
        <v>9667</v>
      </c>
      <c r="L22" s="1">
        <v>0</v>
      </c>
      <c r="M22" s="1">
        <f t="shared" si="1"/>
        <v>13226</v>
      </c>
      <c r="N22" s="1">
        <v>13226</v>
      </c>
      <c r="O22" s="1">
        <f t="shared" si="2"/>
        <v>0</v>
      </c>
    </row>
    <row r="23" spans="1:16" customFormat="1" x14ac:dyDescent="0.25">
      <c r="A23" s="2">
        <v>46044</v>
      </c>
      <c r="B23" s="1" t="s">
        <v>18</v>
      </c>
      <c r="C23" s="1">
        <v>30934</v>
      </c>
      <c r="D23" s="1">
        <v>4950</v>
      </c>
      <c r="E23" s="1">
        <v>530</v>
      </c>
      <c r="F23" s="1">
        <f t="shared" si="3"/>
        <v>25454</v>
      </c>
      <c r="G23" s="1">
        <v>7151</v>
      </c>
      <c r="H23" s="1">
        <v>30</v>
      </c>
      <c r="I23" s="1">
        <f t="shared" si="4"/>
        <v>30934</v>
      </c>
      <c r="J23" s="1">
        <v>70</v>
      </c>
      <c r="K23" s="1">
        <f t="shared" si="0"/>
        <v>7181</v>
      </c>
      <c r="L23" s="1">
        <v>0</v>
      </c>
      <c r="M23" s="1">
        <f t="shared" si="1"/>
        <v>23823</v>
      </c>
      <c r="N23" s="1">
        <v>23820</v>
      </c>
      <c r="O23" s="1">
        <f t="shared" si="2"/>
        <v>-3</v>
      </c>
      <c r="P23" s="1" t="s">
        <v>26</v>
      </c>
    </row>
    <row r="24" spans="1:16" x14ac:dyDescent="0.25">
      <c r="A24" s="2">
        <v>46045</v>
      </c>
      <c r="B24" s="1" t="s">
        <v>19</v>
      </c>
      <c r="C24" s="1">
        <v>27741</v>
      </c>
      <c r="D24" s="1">
        <v>4200</v>
      </c>
      <c r="E24" s="1">
        <v>400</v>
      </c>
      <c r="F24" s="1">
        <f t="shared" si="3"/>
        <v>23141</v>
      </c>
      <c r="G24" s="1">
        <v>8011</v>
      </c>
      <c r="H24" s="1">
        <v>227</v>
      </c>
      <c r="I24" s="1">
        <f t="shared" si="4"/>
        <v>27741</v>
      </c>
      <c r="J24" s="1">
        <v>180</v>
      </c>
      <c r="K24" s="1">
        <f t="shared" si="0"/>
        <v>8238</v>
      </c>
      <c r="L24" s="1">
        <v>0</v>
      </c>
      <c r="M24" s="1">
        <f t="shared" si="1"/>
        <v>19683</v>
      </c>
      <c r="N24" s="1">
        <v>19687</v>
      </c>
      <c r="O24" s="1">
        <f t="shared" si="2"/>
        <v>4</v>
      </c>
    </row>
    <row r="25" spans="1:16" x14ac:dyDescent="0.25">
      <c r="A25" s="2">
        <v>46046</v>
      </c>
      <c r="B25" s="1" t="s">
        <v>20</v>
      </c>
      <c r="C25" s="1">
        <v>30075</v>
      </c>
      <c r="D25" s="1">
        <v>3750</v>
      </c>
      <c r="E25" s="1">
        <v>200</v>
      </c>
      <c r="F25" s="1">
        <f t="shared" si="3"/>
        <v>26125</v>
      </c>
      <c r="G25" s="1">
        <v>11239</v>
      </c>
      <c r="H25" s="1">
        <v>650</v>
      </c>
      <c r="I25" s="1">
        <f t="shared" si="4"/>
        <v>30075</v>
      </c>
      <c r="J25" s="1">
        <v>30</v>
      </c>
      <c r="K25" s="1">
        <f t="shared" si="0"/>
        <v>11889</v>
      </c>
      <c r="L25" s="1">
        <v>0</v>
      </c>
      <c r="M25" s="1">
        <f t="shared" si="1"/>
        <v>18216</v>
      </c>
      <c r="N25" s="1">
        <v>18215</v>
      </c>
      <c r="O25" s="1">
        <f t="shared" si="2"/>
        <v>-1</v>
      </c>
    </row>
    <row r="26" spans="1:16" x14ac:dyDescent="0.25">
      <c r="A26" s="2">
        <v>46047</v>
      </c>
      <c r="B26" s="1" t="s">
        <v>21</v>
      </c>
      <c r="C26" s="1">
        <v>14183</v>
      </c>
      <c r="D26" s="1">
        <v>1800</v>
      </c>
      <c r="E26" s="1">
        <v>400</v>
      </c>
      <c r="F26" s="1">
        <f t="shared" si="3"/>
        <v>11983</v>
      </c>
      <c r="G26" s="1">
        <v>3344</v>
      </c>
      <c r="H26" s="1">
        <v>135</v>
      </c>
      <c r="I26" s="1">
        <f t="shared" si="4"/>
        <v>14183</v>
      </c>
      <c r="J26" s="1">
        <v>130</v>
      </c>
      <c r="K26" s="1">
        <f t="shared" si="0"/>
        <v>3479</v>
      </c>
      <c r="L26" s="1">
        <v>0</v>
      </c>
      <c r="M26" s="1">
        <f t="shared" si="1"/>
        <v>10834</v>
      </c>
      <c r="N26" s="1">
        <v>10720</v>
      </c>
      <c r="O26" s="1">
        <f t="shared" si="2"/>
        <v>-114</v>
      </c>
    </row>
    <row r="27" spans="1:16" x14ac:dyDescent="0.25">
      <c r="A27" s="2">
        <v>46048</v>
      </c>
      <c r="B27" s="1" t="s">
        <v>22</v>
      </c>
      <c r="C27" s="1">
        <v>29127</v>
      </c>
      <c r="D27" s="1">
        <v>5250</v>
      </c>
      <c r="E27" s="1">
        <v>500</v>
      </c>
      <c r="F27" s="1">
        <f t="shared" si="3"/>
        <v>23377</v>
      </c>
      <c r="G27" s="1">
        <v>6094</v>
      </c>
      <c r="H27" s="1">
        <v>55</v>
      </c>
      <c r="I27" s="1">
        <f t="shared" si="4"/>
        <v>29127</v>
      </c>
      <c r="J27" s="1">
        <v>210</v>
      </c>
      <c r="K27" s="1">
        <f t="shared" si="0"/>
        <v>6149</v>
      </c>
      <c r="L27" s="1">
        <v>140</v>
      </c>
      <c r="M27" s="1">
        <f t="shared" si="1"/>
        <v>23048</v>
      </c>
      <c r="N27" s="1">
        <v>23048</v>
      </c>
      <c r="O27" s="1">
        <f t="shared" si="2"/>
        <v>0</v>
      </c>
    </row>
    <row r="28" spans="1:16" customFormat="1" x14ac:dyDescent="0.25">
      <c r="A28" s="2">
        <v>46049</v>
      </c>
      <c r="B28" s="1" t="s">
        <v>16</v>
      </c>
      <c r="C28" s="1">
        <v>26731</v>
      </c>
      <c r="D28" s="1">
        <v>4800</v>
      </c>
      <c r="E28" s="1">
        <v>400</v>
      </c>
      <c r="F28" s="1">
        <f t="shared" si="3"/>
        <v>21531</v>
      </c>
      <c r="G28" s="1">
        <v>8573</v>
      </c>
      <c r="H28" s="1">
        <v>326</v>
      </c>
      <c r="I28" s="1">
        <f t="shared" si="4"/>
        <v>26731</v>
      </c>
      <c r="J28" s="1">
        <v>230</v>
      </c>
      <c r="K28" s="1">
        <f t="shared" si="0"/>
        <v>8899</v>
      </c>
      <c r="L28" s="1">
        <v>46</v>
      </c>
      <c r="M28" s="1">
        <f t="shared" si="1"/>
        <v>18016</v>
      </c>
      <c r="N28" s="1">
        <v>18014</v>
      </c>
      <c r="O28" s="1">
        <f t="shared" si="2"/>
        <v>-2</v>
      </c>
      <c r="P28" s="1"/>
    </row>
    <row r="29" spans="1:16" x14ac:dyDescent="0.25">
      <c r="A29" s="2">
        <v>46050</v>
      </c>
      <c r="B29" s="1" t="s">
        <v>17</v>
      </c>
      <c r="C29" s="1">
        <v>22896</v>
      </c>
      <c r="D29" s="1">
        <v>3600</v>
      </c>
      <c r="E29" s="1">
        <v>600</v>
      </c>
      <c r="F29" s="1">
        <f t="shared" si="3"/>
        <v>18696</v>
      </c>
      <c r="G29" s="1">
        <v>9730</v>
      </c>
      <c r="H29" s="1">
        <v>382</v>
      </c>
      <c r="I29" s="1">
        <f t="shared" si="4"/>
        <v>22896</v>
      </c>
      <c r="J29" s="1">
        <v>210</v>
      </c>
      <c r="K29" s="1">
        <f t="shared" si="0"/>
        <v>10112</v>
      </c>
      <c r="L29" s="1">
        <v>0</v>
      </c>
      <c r="M29" s="1">
        <f t="shared" si="1"/>
        <v>12994</v>
      </c>
      <c r="N29" s="1">
        <v>12820</v>
      </c>
      <c r="O29" s="1">
        <f t="shared" si="2"/>
        <v>-174</v>
      </c>
      <c r="P29" s="1" t="s">
        <v>28</v>
      </c>
    </row>
    <row r="30" spans="1:16" customFormat="1" x14ac:dyDescent="0.25">
      <c r="A30" s="2">
        <v>46051</v>
      </c>
      <c r="B30" s="1" t="s">
        <v>18</v>
      </c>
      <c r="C30" s="1">
        <v>24542</v>
      </c>
      <c r="D30" s="1">
        <v>5250</v>
      </c>
      <c r="E30" s="1">
        <v>400</v>
      </c>
      <c r="F30" s="1">
        <f t="shared" si="3"/>
        <v>18892</v>
      </c>
      <c r="G30" s="1">
        <v>7702</v>
      </c>
      <c r="H30" s="1">
        <v>35</v>
      </c>
      <c r="I30" s="1">
        <f t="shared" si="4"/>
        <v>24542</v>
      </c>
      <c r="J30" s="1">
        <v>50</v>
      </c>
      <c r="K30" s="1">
        <f t="shared" si="0"/>
        <v>7737</v>
      </c>
      <c r="L30" s="1">
        <v>0</v>
      </c>
      <c r="M30" s="1">
        <f t="shared" si="1"/>
        <v>16855</v>
      </c>
      <c r="N30" s="1">
        <v>16880</v>
      </c>
      <c r="O30" s="1">
        <f t="shared" si="2"/>
        <v>25</v>
      </c>
      <c r="P30" s="1"/>
    </row>
    <row r="31" spans="1:16" x14ac:dyDescent="0.25">
      <c r="A31" s="2">
        <v>46052</v>
      </c>
      <c r="B31" s="1" t="s">
        <v>19</v>
      </c>
      <c r="C31" s="1">
        <v>26175</v>
      </c>
      <c r="D31" s="1">
        <v>5250</v>
      </c>
      <c r="E31" s="1">
        <v>650</v>
      </c>
      <c r="F31" s="1">
        <f t="shared" si="3"/>
        <v>20275</v>
      </c>
      <c r="G31" s="1">
        <v>8546</v>
      </c>
      <c r="H31" s="1">
        <v>305</v>
      </c>
      <c r="I31" s="1">
        <f t="shared" si="4"/>
        <v>26175</v>
      </c>
      <c r="J31" s="1">
        <v>0</v>
      </c>
      <c r="K31" s="1">
        <f t="shared" si="0"/>
        <v>8851</v>
      </c>
      <c r="L31" s="1">
        <v>119</v>
      </c>
      <c r="M31" s="1">
        <f t="shared" si="1"/>
        <v>17205</v>
      </c>
      <c r="N31" s="1">
        <v>17204</v>
      </c>
      <c r="O31" s="1">
        <f t="shared" si="2"/>
        <v>-1</v>
      </c>
    </row>
    <row r="32" spans="1:16" x14ac:dyDescent="0.25">
      <c r="A32" s="2">
        <v>46053</v>
      </c>
      <c r="B32" s="1" t="s">
        <v>20</v>
      </c>
      <c r="C32" s="1">
        <v>27062</v>
      </c>
      <c r="D32" s="1">
        <v>4500</v>
      </c>
      <c r="E32" s="1">
        <v>800</v>
      </c>
      <c r="F32" s="1">
        <f t="shared" si="3"/>
        <v>21762</v>
      </c>
      <c r="G32" s="1">
        <v>7084</v>
      </c>
      <c r="H32" s="1">
        <v>163</v>
      </c>
      <c r="I32" s="1">
        <f t="shared" si="4"/>
        <v>27062</v>
      </c>
      <c r="J32" s="1">
        <v>0</v>
      </c>
      <c r="K32" s="1">
        <f t="shared" si="0"/>
        <v>7247</v>
      </c>
      <c r="L32" s="1">
        <v>0</v>
      </c>
      <c r="M32" s="1">
        <f t="shared" si="1"/>
        <v>19815</v>
      </c>
      <c r="N32" s="1">
        <v>16815</v>
      </c>
      <c r="O32" s="1">
        <f t="shared" si="2"/>
        <v>-3000</v>
      </c>
    </row>
    <row r="34" spans="3:3" x14ac:dyDescent="0.25">
      <c r="C34" s="1">
        <f>SUM(C2:C32)</f>
        <v>710177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KABILAN</dc:creator>
  <cp:lastModifiedBy>Kabilan Padmanaban</cp:lastModifiedBy>
  <dcterms:created xsi:type="dcterms:W3CDTF">2015-06-05T18:17:20Z</dcterms:created>
  <dcterms:modified xsi:type="dcterms:W3CDTF">2026-03-28T16:44:07Z</dcterms:modified>
</cp:coreProperties>
</file>