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MONTHY DATE WISE ACCOUNT\COMPLETE MONTHWISE ACCOUNT\"/>
    </mc:Choice>
  </mc:AlternateContent>
  <xr:revisionPtr revIDLastSave="0" documentId="13_ncr:1_{6601113E-A667-427B-B921-ECAC97893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K33" i="1" s="1"/>
  <c r="M33" i="1" s="1"/>
  <c r="F33" i="1"/>
  <c r="I33" i="1" s="1"/>
  <c r="M32" i="1"/>
  <c r="J32" i="1"/>
  <c r="K32" i="1"/>
  <c r="F32" i="1"/>
  <c r="I32" i="1" s="1"/>
  <c r="M31" i="1"/>
  <c r="J31" i="1"/>
  <c r="K31" i="1"/>
  <c r="F31" i="1"/>
  <c r="I31" i="1" s="1"/>
  <c r="M30" i="1"/>
  <c r="J30" i="1"/>
  <c r="K30" i="1"/>
  <c r="F30" i="1"/>
  <c r="I30" i="1" s="1"/>
  <c r="M29" i="1"/>
  <c r="J29" i="1"/>
  <c r="K29" i="1"/>
  <c r="F29" i="1"/>
  <c r="I29" i="1" s="1"/>
  <c r="M28" i="1"/>
  <c r="J28" i="1"/>
  <c r="K28" i="1"/>
  <c r="F28" i="1"/>
  <c r="I28" i="1" s="1"/>
  <c r="M26" i="1"/>
  <c r="M27" i="1"/>
  <c r="K26" i="1"/>
  <c r="K27" i="1"/>
  <c r="J26" i="1"/>
  <c r="J27" i="1"/>
  <c r="I26" i="1"/>
  <c r="I27" i="1"/>
  <c r="F26" i="1"/>
  <c r="F27" i="1"/>
  <c r="M25" i="1"/>
  <c r="J25" i="1"/>
  <c r="K25" i="1"/>
  <c r="F25" i="1"/>
  <c r="I25" i="1" s="1"/>
  <c r="M24" i="1"/>
  <c r="J24" i="1"/>
  <c r="K24" i="1"/>
  <c r="F24" i="1"/>
  <c r="I24" i="1" s="1"/>
  <c r="M23" i="1"/>
  <c r="J23" i="1"/>
  <c r="K23" i="1"/>
  <c r="F23" i="1"/>
  <c r="I23" i="1" s="1"/>
  <c r="M22" i="1"/>
  <c r="J22" i="1"/>
  <c r="K22" i="1"/>
  <c r="F22" i="1"/>
  <c r="I22" i="1" s="1"/>
  <c r="J21" i="1"/>
  <c r="F21" i="1"/>
  <c r="I21" i="1" s="1"/>
  <c r="M20" i="1"/>
  <c r="J20" i="1"/>
  <c r="K20" i="1"/>
  <c r="F20" i="1"/>
  <c r="I20" i="1" s="1"/>
  <c r="J19" i="1"/>
  <c r="F19" i="1"/>
  <c r="I19" i="1" s="1"/>
  <c r="K19" i="1" s="1"/>
  <c r="M19" i="1" s="1"/>
  <c r="M18" i="1"/>
  <c r="J18" i="1"/>
  <c r="K18" i="1"/>
  <c r="F18" i="1"/>
  <c r="I18" i="1" s="1"/>
  <c r="M17" i="1"/>
  <c r="J17" i="1"/>
  <c r="K17" i="1"/>
  <c r="F17" i="1"/>
  <c r="I17" i="1" s="1"/>
  <c r="M16" i="1"/>
  <c r="J16" i="1"/>
  <c r="K16" i="1"/>
  <c r="F16" i="1"/>
  <c r="I16" i="1" s="1"/>
  <c r="J15" i="1"/>
  <c r="F15" i="1"/>
  <c r="I15" i="1" s="1"/>
  <c r="K15" i="1" s="1"/>
  <c r="M14" i="1"/>
  <c r="J14" i="1"/>
  <c r="F14" i="1"/>
  <c r="I14" i="1" s="1"/>
  <c r="K14" i="1" s="1"/>
  <c r="M12" i="1"/>
  <c r="M13" i="1"/>
  <c r="K12" i="1"/>
  <c r="K13" i="1"/>
  <c r="J12" i="1"/>
  <c r="J13" i="1"/>
  <c r="I12" i="1"/>
  <c r="I13" i="1"/>
  <c r="F12" i="1"/>
  <c r="F13" i="1"/>
  <c r="F11" i="1"/>
  <c r="I11" i="1" s="1"/>
  <c r="K11" i="1" s="1"/>
  <c r="M11" i="1" s="1"/>
  <c r="J11" i="1"/>
  <c r="M10" i="1"/>
  <c r="J10" i="1"/>
  <c r="K10" i="1"/>
  <c r="F10" i="1"/>
  <c r="I10" i="1" s="1"/>
  <c r="M9" i="1"/>
  <c r="J9" i="1"/>
  <c r="K9" i="1"/>
  <c r="F9" i="1"/>
  <c r="I9" i="1" s="1"/>
  <c r="M8" i="1"/>
  <c r="J8" i="1"/>
  <c r="K8" i="1" s="1"/>
  <c r="F8" i="1"/>
  <c r="I8" i="1"/>
  <c r="M7" i="1"/>
  <c r="K7" i="1"/>
  <c r="I7" i="1"/>
  <c r="I6" i="1"/>
  <c r="J7" i="1"/>
  <c r="F7" i="1"/>
  <c r="J6" i="1"/>
  <c r="F6" i="1"/>
  <c r="J4" i="1"/>
  <c r="F4" i="1"/>
  <c r="I4" i="1" s="1"/>
  <c r="J3" i="1"/>
  <c r="F3" i="1"/>
  <c r="I3" i="1" s="1"/>
  <c r="K3" i="1" s="1"/>
  <c r="M3" i="1" s="1"/>
  <c r="J2" i="1"/>
  <c r="K21" i="1" l="1"/>
  <c r="M21" i="1" s="1"/>
  <c r="M15" i="1"/>
  <c r="K6" i="1"/>
  <c r="M6" i="1" s="1"/>
  <c r="K4" i="1"/>
  <c r="M4" i="1" s="1"/>
  <c r="I2" i="1"/>
  <c r="K2" i="1" s="1"/>
  <c r="M2" i="1" s="1"/>
  <c r="F2" i="1"/>
</calcChain>
</file>

<file path=xl/sharedStrings.xml><?xml version="1.0" encoding="utf-8"?>
<sst xmlns="http://schemas.openxmlformats.org/spreadsheetml/2006/main" count="51" uniqueCount="27">
  <si>
    <t>DATE</t>
  </si>
  <si>
    <t>DAY</t>
  </si>
  <si>
    <t>TOTAL SALESAMOUNT IN COMPUTER</t>
  </si>
  <si>
    <t>TOTAL OP CHARGES</t>
  </si>
  <si>
    <t>INJECTION</t>
  </si>
  <si>
    <t>TOTAL MEDICINE SALES</t>
  </si>
  <si>
    <t>GPAY</t>
  </si>
  <si>
    <t>EXPENSE</t>
  </si>
  <si>
    <t>TOTAL</t>
  </si>
  <si>
    <t>GPAY &amp; EXPENSE</t>
  </si>
  <si>
    <t>TOTAL CASH</t>
  </si>
  <si>
    <t>TOTAL CASH GIVEN</t>
  </si>
  <si>
    <t>EXCESS/DEFECIT</t>
  </si>
  <si>
    <t>NOTES</t>
  </si>
  <si>
    <t>THURSDAY</t>
  </si>
  <si>
    <t>FRIDAY</t>
  </si>
  <si>
    <t>SATURDAY</t>
  </si>
  <si>
    <t>SUNDAY</t>
  </si>
  <si>
    <t>MONDAY</t>
  </si>
  <si>
    <t>TUESDAY</t>
  </si>
  <si>
    <t>WEDNESDAY</t>
  </si>
  <si>
    <t>114 DRUG RETURN</t>
  </si>
  <si>
    <t>sign 10</t>
  </si>
  <si>
    <t>77 yet to come</t>
  </si>
  <si>
    <t xml:space="preserve">Nagris </t>
  </si>
  <si>
    <t>1206 GPAY RETURN FOR SANTHOSH</t>
  </si>
  <si>
    <t>80 NAGRIS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</si>
</sst>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2" borderId="0" xfId="1" applyNumberFormat="1" applyAlignment="1">
      <alignment horizontal="center"/>
    </xf>
    <xf numFmtId="0" fontId="1" fillId="2" borderId="0" xfId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90" zoomScaleNormal="90" workbookViewId="0">
      <selection activeCell="M33" sqref="M33"/>
    </sheetView>
  </sheetViews>
  <sheetFormatPr defaultRowHeight="15" x14ac:dyDescent="0.25"/>
  <cols>
    <col min="1" max="1" width="12.5703125" style="1" bestFit="1" customWidth="1"/>
    <col min="2" max="2" width="12.140625" style="1" bestFit="1" customWidth="1"/>
    <col min="3" max="3" width="33.85546875" style="1" bestFit="1" customWidth="1"/>
    <col min="4" max="4" width="18.42578125" style="1" bestFit="1" customWidth="1"/>
    <col min="5" max="5" width="10.28515625" style="1" bestFit="1" customWidth="1"/>
    <col min="6" max="6" width="21.7109375" style="1" bestFit="1" customWidth="1"/>
    <col min="7" max="7" width="5.7109375" style="1" bestFit="1" customWidth="1"/>
    <col min="8" max="8" width="8.7109375" style="1" bestFit="1" customWidth="1"/>
    <col min="9" max="9" width="6.7109375" style="1" bestFit="1" customWidth="1"/>
    <col min="10" max="10" width="15.85546875" style="1" bestFit="1" customWidth="1"/>
    <col min="11" max="11" width="11.7109375" style="1" bestFit="1" customWidth="1"/>
    <col min="12" max="12" width="18" style="1" bestFit="1" customWidth="1"/>
    <col min="13" max="13" width="15.28515625" style="1" bestFit="1" customWidth="1"/>
    <col min="14" max="14" width="33.5703125" style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45778</v>
      </c>
      <c r="B2" s="1" t="s">
        <v>14</v>
      </c>
      <c r="C2" s="1">
        <v>11177</v>
      </c>
      <c r="D2" s="1">
        <v>2450</v>
      </c>
      <c r="E2" s="1">
        <v>366</v>
      </c>
      <c r="F2" s="1">
        <f>SUM(C2-D2-E2)</f>
        <v>8361</v>
      </c>
      <c r="G2" s="1">
        <v>741</v>
      </c>
      <c r="H2" s="1">
        <v>234</v>
      </c>
      <c r="I2" s="1">
        <f>SUM(D2,E2,F2)</f>
        <v>11177</v>
      </c>
      <c r="J2" s="1">
        <f>SUM(G2,H2)</f>
        <v>975</v>
      </c>
      <c r="K2" s="1">
        <f>SUM(I2-J2)</f>
        <v>10202</v>
      </c>
      <c r="L2" s="1">
        <v>10281</v>
      </c>
      <c r="M2" s="1">
        <f>SUM(L2-K2)</f>
        <v>79</v>
      </c>
      <c r="N2" s="1" t="s">
        <v>21</v>
      </c>
    </row>
    <row r="3" spans="1:14" x14ac:dyDescent="0.25">
      <c r="A3" s="2">
        <v>45779</v>
      </c>
      <c r="B3" s="1" t="s">
        <v>15</v>
      </c>
      <c r="C3" s="1">
        <v>9559</v>
      </c>
      <c r="D3" s="1">
        <v>2300</v>
      </c>
      <c r="E3" s="1">
        <v>150</v>
      </c>
      <c r="F3" s="1">
        <f>SUM(C3-D3-E3)</f>
        <v>7109</v>
      </c>
      <c r="G3" s="1">
        <v>843</v>
      </c>
      <c r="H3" s="1">
        <v>279</v>
      </c>
      <c r="I3" s="1">
        <f>SUM(D3,E3,F3)</f>
        <v>9559</v>
      </c>
      <c r="J3" s="1">
        <f>SUM(G3,H3)</f>
        <v>1122</v>
      </c>
      <c r="K3" s="1">
        <f>SUM(I3-J3)</f>
        <v>8437</v>
      </c>
      <c r="L3" s="1">
        <v>8460</v>
      </c>
      <c r="M3" s="1">
        <f>SUM(L3-K3)</f>
        <v>23</v>
      </c>
    </row>
    <row r="4" spans="1:14" x14ac:dyDescent="0.25">
      <c r="A4" s="2">
        <v>45780</v>
      </c>
      <c r="B4" s="1" t="s">
        <v>16</v>
      </c>
      <c r="C4" s="1">
        <v>12682</v>
      </c>
      <c r="D4" s="1">
        <v>2250</v>
      </c>
      <c r="E4" s="1">
        <v>147</v>
      </c>
      <c r="F4" s="1">
        <f t="shared" ref="F4:F10" si="0">SUM(C4-D4-E4)</f>
        <v>10285</v>
      </c>
      <c r="G4" s="1">
        <v>4243</v>
      </c>
      <c r="H4" s="1">
        <v>760</v>
      </c>
      <c r="I4" s="1">
        <f>SUM(D4,E4,F4)</f>
        <v>12682</v>
      </c>
      <c r="J4" s="1">
        <f>SUM(G4,H4)</f>
        <v>5003</v>
      </c>
      <c r="K4" s="1">
        <f>SUM(I4-J4)</f>
        <v>7679</v>
      </c>
      <c r="L4" s="1">
        <v>7650</v>
      </c>
      <c r="M4" s="1">
        <f>SUM(L4-K4)</f>
        <v>-29</v>
      </c>
    </row>
    <row r="5" spans="1:14" s="4" customFormat="1" x14ac:dyDescent="0.25">
      <c r="A5" s="3">
        <v>45781</v>
      </c>
      <c r="B5" s="4" t="s">
        <v>17</v>
      </c>
    </row>
    <row r="6" spans="1:14" x14ac:dyDescent="0.25">
      <c r="A6" s="2">
        <v>45782</v>
      </c>
      <c r="B6" s="1" t="s">
        <v>18</v>
      </c>
      <c r="C6" s="1">
        <v>16018</v>
      </c>
      <c r="D6" s="1">
        <v>3700</v>
      </c>
      <c r="E6" s="1">
        <v>456</v>
      </c>
      <c r="F6" s="1">
        <f t="shared" si="0"/>
        <v>11862</v>
      </c>
      <c r="G6" s="1">
        <v>115</v>
      </c>
      <c r="H6" s="1">
        <v>50</v>
      </c>
      <c r="I6" s="1">
        <f t="shared" ref="I6" si="1">SUM(D6,E6,F6)</f>
        <v>16018</v>
      </c>
      <c r="J6" s="1">
        <f t="shared" ref="J6:J33" si="2">SUM(G6,H6)</f>
        <v>165</v>
      </c>
      <c r="K6" s="1">
        <f t="shared" ref="K6:K13" si="3">SUM(I6-J6)</f>
        <v>15853</v>
      </c>
      <c r="L6" s="1">
        <v>16000</v>
      </c>
      <c r="M6" s="1">
        <f t="shared" ref="M6:M33" si="4">SUM(L6-K6)</f>
        <v>147</v>
      </c>
    </row>
    <row r="7" spans="1:14" x14ac:dyDescent="0.25">
      <c r="A7" s="2">
        <v>45783</v>
      </c>
      <c r="B7" s="1" t="s">
        <v>19</v>
      </c>
      <c r="C7" s="1">
        <v>12115</v>
      </c>
      <c r="D7" s="1">
        <v>2400</v>
      </c>
      <c r="E7" s="1">
        <v>581</v>
      </c>
      <c r="F7" s="1">
        <f t="shared" si="0"/>
        <v>9134</v>
      </c>
      <c r="G7" s="1">
        <v>1873</v>
      </c>
      <c r="H7" s="1">
        <v>90</v>
      </c>
      <c r="I7" s="1">
        <f>SUM(D7,E7,F7)</f>
        <v>12115</v>
      </c>
      <c r="J7" s="1">
        <f t="shared" si="2"/>
        <v>1963</v>
      </c>
      <c r="K7" s="1">
        <f t="shared" si="3"/>
        <v>10152</v>
      </c>
      <c r="L7" s="1">
        <v>10140</v>
      </c>
      <c r="M7" s="1">
        <f t="shared" si="4"/>
        <v>-12</v>
      </c>
    </row>
    <row r="8" spans="1:14" x14ac:dyDescent="0.25">
      <c r="A8" s="2">
        <v>45784</v>
      </c>
      <c r="B8" s="1" t="s">
        <v>20</v>
      </c>
      <c r="C8" s="1">
        <v>9372</v>
      </c>
      <c r="D8" s="1">
        <v>3150</v>
      </c>
      <c r="E8" s="1">
        <v>907</v>
      </c>
      <c r="F8" s="1">
        <f t="shared" si="0"/>
        <v>5315</v>
      </c>
      <c r="G8" s="1">
        <v>4479</v>
      </c>
      <c r="H8" s="1">
        <v>270</v>
      </c>
      <c r="I8" s="1">
        <f>SUM(D8,E8,F8)</f>
        <v>9372</v>
      </c>
      <c r="J8" s="1">
        <f t="shared" si="2"/>
        <v>4749</v>
      </c>
      <c r="K8" s="1">
        <f t="shared" si="3"/>
        <v>4623</v>
      </c>
      <c r="L8" s="1">
        <v>4850</v>
      </c>
      <c r="M8" s="1">
        <f t="shared" si="4"/>
        <v>227</v>
      </c>
    </row>
    <row r="9" spans="1:14" x14ac:dyDescent="0.25">
      <c r="A9" s="2">
        <v>45785</v>
      </c>
      <c r="B9" s="1" t="s">
        <v>14</v>
      </c>
      <c r="C9" s="1">
        <v>13880</v>
      </c>
      <c r="D9" s="1">
        <v>4650</v>
      </c>
      <c r="E9" s="1">
        <v>245</v>
      </c>
      <c r="F9" s="1">
        <f t="shared" si="0"/>
        <v>8985</v>
      </c>
      <c r="G9" s="1">
        <v>3353</v>
      </c>
      <c r="H9" s="1">
        <v>268</v>
      </c>
      <c r="I9" s="1">
        <f>SUM(D9,E9,F9)</f>
        <v>13880</v>
      </c>
      <c r="J9" s="1">
        <f t="shared" si="2"/>
        <v>3621</v>
      </c>
      <c r="K9" s="1">
        <f t="shared" si="3"/>
        <v>10259</v>
      </c>
      <c r="L9" s="1">
        <v>10500</v>
      </c>
      <c r="M9" s="1">
        <f t="shared" si="4"/>
        <v>241</v>
      </c>
    </row>
    <row r="10" spans="1:14" x14ac:dyDescent="0.25">
      <c r="A10" s="2">
        <v>45786</v>
      </c>
      <c r="B10" s="1" t="s">
        <v>15</v>
      </c>
      <c r="C10" s="1">
        <v>14861</v>
      </c>
      <c r="D10" s="1">
        <v>2550</v>
      </c>
      <c r="E10" s="1">
        <v>224</v>
      </c>
      <c r="F10" s="1">
        <f t="shared" si="0"/>
        <v>12087</v>
      </c>
      <c r="G10" s="1">
        <v>5047</v>
      </c>
      <c r="H10" s="1">
        <v>50</v>
      </c>
      <c r="I10" s="1">
        <f>SUM(D10,E10,F10)</f>
        <v>14861</v>
      </c>
      <c r="J10" s="1">
        <f t="shared" si="2"/>
        <v>5097</v>
      </c>
      <c r="K10" s="1">
        <f t="shared" si="3"/>
        <v>9764</v>
      </c>
      <c r="L10" s="1">
        <v>9880</v>
      </c>
      <c r="M10" s="1">
        <f t="shared" si="4"/>
        <v>116</v>
      </c>
    </row>
    <row r="11" spans="1:14" x14ac:dyDescent="0.25">
      <c r="A11" s="2">
        <v>45787</v>
      </c>
      <c r="B11" s="1" t="s">
        <v>16</v>
      </c>
      <c r="C11" s="1">
        <v>11321</v>
      </c>
      <c r="D11" s="1">
        <v>2800</v>
      </c>
      <c r="E11" s="1">
        <v>145</v>
      </c>
      <c r="F11" s="1">
        <f>SUM(C11-D11-E11)</f>
        <v>8376</v>
      </c>
      <c r="G11" s="1">
        <v>3607</v>
      </c>
      <c r="H11" s="1">
        <v>50</v>
      </c>
      <c r="I11" s="1">
        <f>SUM(D11,E11,F11)</f>
        <v>11321</v>
      </c>
      <c r="J11" s="1">
        <f t="shared" si="2"/>
        <v>3657</v>
      </c>
      <c r="K11" s="1">
        <f t="shared" si="3"/>
        <v>7664</v>
      </c>
      <c r="L11" s="1">
        <v>7900</v>
      </c>
      <c r="M11" s="1">
        <f t="shared" si="4"/>
        <v>236</v>
      </c>
    </row>
    <row r="12" spans="1:14" s="4" customFormat="1" x14ac:dyDescent="0.25">
      <c r="A12" s="3">
        <v>45788</v>
      </c>
      <c r="B12" s="4" t="s">
        <v>17</v>
      </c>
      <c r="F12" s="4">
        <f t="shared" ref="F12:F33" si="5">SUM(C12-D12-E12)</f>
        <v>0</v>
      </c>
      <c r="I12" s="4">
        <f t="shared" ref="I12:I33" si="6">SUM(D12,E12,F12)</f>
        <v>0</v>
      </c>
      <c r="J12" s="4">
        <f t="shared" si="2"/>
        <v>0</v>
      </c>
      <c r="K12" s="4">
        <f t="shared" si="3"/>
        <v>0</v>
      </c>
      <c r="M12" s="4">
        <f t="shared" si="4"/>
        <v>0</v>
      </c>
    </row>
    <row r="13" spans="1:14" x14ac:dyDescent="0.25">
      <c r="A13" s="2">
        <v>45789</v>
      </c>
      <c r="B13" s="1" t="s">
        <v>18</v>
      </c>
      <c r="C13" s="1">
        <v>15813</v>
      </c>
      <c r="D13" s="1">
        <v>3850</v>
      </c>
      <c r="E13" s="1">
        <v>265</v>
      </c>
      <c r="F13" s="1">
        <f t="shared" si="5"/>
        <v>11698</v>
      </c>
      <c r="G13" s="1">
        <v>1483</v>
      </c>
      <c r="H13" s="1">
        <v>860</v>
      </c>
      <c r="I13" s="1">
        <f t="shared" si="6"/>
        <v>15813</v>
      </c>
      <c r="J13" s="1">
        <f t="shared" si="2"/>
        <v>2343</v>
      </c>
      <c r="K13" s="1">
        <f t="shared" si="3"/>
        <v>13470</v>
      </c>
      <c r="L13" s="1">
        <v>13450</v>
      </c>
      <c r="M13" s="1">
        <f t="shared" si="4"/>
        <v>-20</v>
      </c>
    </row>
    <row r="14" spans="1:14" x14ac:dyDescent="0.25">
      <c r="A14" s="2">
        <v>45790</v>
      </c>
      <c r="B14" s="1" t="s">
        <v>19</v>
      </c>
      <c r="C14" s="1">
        <v>11965</v>
      </c>
      <c r="D14" s="1">
        <v>2000</v>
      </c>
      <c r="E14" s="1">
        <v>60</v>
      </c>
      <c r="F14" s="1">
        <f t="shared" si="5"/>
        <v>9905</v>
      </c>
      <c r="G14" s="1">
        <v>2838</v>
      </c>
      <c r="H14" s="1">
        <v>100</v>
      </c>
      <c r="I14" s="1">
        <f t="shared" si="6"/>
        <v>11965</v>
      </c>
      <c r="J14" s="1">
        <f t="shared" si="2"/>
        <v>2938</v>
      </c>
      <c r="K14" s="1">
        <f t="shared" ref="K14:K33" si="7">SUM(I14-J14)</f>
        <v>9027</v>
      </c>
      <c r="L14" s="1">
        <v>9147</v>
      </c>
      <c r="M14" s="1">
        <f t="shared" si="4"/>
        <v>120</v>
      </c>
      <c r="N14" s="1" t="s">
        <v>22</v>
      </c>
    </row>
    <row r="15" spans="1:14" x14ac:dyDescent="0.25">
      <c r="A15" s="2">
        <v>45791</v>
      </c>
      <c r="B15" s="1" t="s">
        <v>20</v>
      </c>
      <c r="C15" s="1">
        <v>12530</v>
      </c>
      <c r="D15" s="1">
        <v>2550</v>
      </c>
      <c r="E15" s="1">
        <v>80</v>
      </c>
      <c r="F15" s="1">
        <f t="shared" si="5"/>
        <v>9900</v>
      </c>
      <c r="G15" s="1">
        <v>3262</v>
      </c>
      <c r="H15" s="1">
        <v>170</v>
      </c>
      <c r="I15" s="1">
        <f t="shared" si="6"/>
        <v>12530</v>
      </c>
      <c r="J15" s="1">
        <f t="shared" si="2"/>
        <v>3432</v>
      </c>
      <c r="K15" s="1">
        <f t="shared" si="7"/>
        <v>9098</v>
      </c>
      <c r="L15" s="1">
        <v>9160</v>
      </c>
      <c r="M15" s="1">
        <f t="shared" si="4"/>
        <v>62</v>
      </c>
    </row>
    <row r="16" spans="1:14" x14ac:dyDescent="0.25">
      <c r="A16" s="2">
        <v>45792</v>
      </c>
      <c r="B16" s="1" t="s">
        <v>14</v>
      </c>
      <c r="C16" s="1">
        <v>15593</v>
      </c>
      <c r="D16" s="1">
        <v>2750</v>
      </c>
      <c r="E16" s="1">
        <v>299</v>
      </c>
      <c r="F16" s="1">
        <f t="shared" si="5"/>
        <v>12544</v>
      </c>
      <c r="G16" s="1">
        <v>766</v>
      </c>
      <c r="H16" s="1">
        <v>249</v>
      </c>
      <c r="I16" s="1">
        <f t="shared" si="6"/>
        <v>15593</v>
      </c>
      <c r="J16" s="1">
        <f t="shared" si="2"/>
        <v>1015</v>
      </c>
      <c r="K16" s="1">
        <f t="shared" si="7"/>
        <v>14578</v>
      </c>
      <c r="L16" s="1">
        <v>14510</v>
      </c>
      <c r="M16" s="1">
        <f t="shared" si="4"/>
        <v>-68</v>
      </c>
    </row>
    <row r="17" spans="1:15" x14ac:dyDescent="0.25">
      <c r="A17" s="2">
        <v>45793</v>
      </c>
      <c r="B17" s="1" t="s">
        <v>15</v>
      </c>
      <c r="C17" s="1">
        <v>12554</v>
      </c>
      <c r="D17" s="1">
        <v>2800</v>
      </c>
      <c r="E17" s="1">
        <v>75</v>
      </c>
      <c r="F17" s="1">
        <f t="shared" si="5"/>
        <v>9679</v>
      </c>
      <c r="G17" s="1">
        <v>4358</v>
      </c>
      <c r="H17" s="1">
        <v>355</v>
      </c>
      <c r="I17" s="1">
        <f t="shared" si="6"/>
        <v>12554</v>
      </c>
      <c r="J17" s="1">
        <f t="shared" si="2"/>
        <v>4713</v>
      </c>
      <c r="K17" s="1">
        <f t="shared" si="7"/>
        <v>7841</v>
      </c>
      <c r="L17" s="1">
        <v>7700</v>
      </c>
      <c r="M17" s="1">
        <f t="shared" si="4"/>
        <v>-141</v>
      </c>
    </row>
    <row r="18" spans="1:15" x14ac:dyDescent="0.25">
      <c r="A18" s="2">
        <v>45794</v>
      </c>
      <c r="B18" s="1" t="s">
        <v>16</v>
      </c>
      <c r="C18" s="1">
        <v>7582</v>
      </c>
      <c r="D18" s="1">
        <v>1250</v>
      </c>
      <c r="E18" s="1">
        <v>0</v>
      </c>
      <c r="F18" s="1">
        <f t="shared" si="5"/>
        <v>6332</v>
      </c>
      <c r="G18" s="1">
        <v>1280</v>
      </c>
      <c r="H18" s="1">
        <v>283</v>
      </c>
      <c r="I18" s="1">
        <f t="shared" si="6"/>
        <v>7582</v>
      </c>
      <c r="J18" s="1">
        <f t="shared" si="2"/>
        <v>1563</v>
      </c>
      <c r="K18" s="1">
        <f t="shared" si="7"/>
        <v>6019</v>
      </c>
      <c r="L18" s="1">
        <v>6020</v>
      </c>
      <c r="M18" s="1">
        <f t="shared" si="4"/>
        <v>1</v>
      </c>
    </row>
    <row r="19" spans="1:15" s="4" customFormat="1" x14ac:dyDescent="0.25">
      <c r="A19" s="3">
        <v>45795</v>
      </c>
      <c r="B19" s="4" t="s">
        <v>17</v>
      </c>
      <c r="C19" s="4">
        <v>6592</v>
      </c>
      <c r="D19" s="4">
        <v>700</v>
      </c>
      <c r="E19" s="4">
        <v>30</v>
      </c>
      <c r="F19" s="4">
        <f t="shared" si="5"/>
        <v>5862</v>
      </c>
      <c r="G19" s="4">
        <v>837</v>
      </c>
      <c r="H19" s="4">
        <v>100</v>
      </c>
      <c r="I19" s="4">
        <f t="shared" si="6"/>
        <v>6592</v>
      </c>
      <c r="J19" s="4">
        <f t="shared" si="2"/>
        <v>937</v>
      </c>
      <c r="K19" s="4">
        <f t="shared" si="7"/>
        <v>5655</v>
      </c>
      <c r="L19" s="4">
        <v>5700</v>
      </c>
      <c r="M19" s="4">
        <f t="shared" si="4"/>
        <v>45</v>
      </c>
      <c r="N19" s="4" t="s">
        <v>23</v>
      </c>
    </row>
    <row r="20" spans="1:15" x14ac:dyDescent="0.25">
      <c r="A20" s="2">
        <v>45796</v>
      </c>
      <c r="B20" s="1" t="s">
        <v>18</v>
      </c>
      <c r="C20" s="1">
        <v>14343</v>
      </c>
      <c r="D20" s="1">
        <v>2200</v>
      </c>
      <c r="E20" s="1">
        <v>30</v>
      </c>
      <c r="F20" s="1">
        <f t="shared" si="5"/>
        <v>12113</v>
      </c>
      <c r="G20" s="1">
        <v>1381</v>
      </c>
      <c r="H20" s="1">
        <v>135</v>
      </c>
      <c r="I20" s="1">
        <f t="shared" si="6"/>
        <v>14343</v>
      </c>
      <c r="J20" s="1">
        <f t="shared" si="2"/>
        <v>1516</v>
      </c>
      <c r="K20" s="1">
        <f t="shared" si="7"/>
        <v>12827</v>
      </c>
      <c r="L20" s="1">
        <v>12910</v>
      </c>
      <c r="M20" s="1">
        <f t="shared" si="4"/>
        <v>83</v>
      </c>
    </row>
    <row r="21" spans="1:15" x14ac:dyDescent="0.25">
      <c r="A21" s="2">
        <v>45797</v>
      </c>
      <c r="B21" s="1" t="s">
        <v>19</v>
      </c>
      <c r="C21" s="1">
        <v>9686</v>
      </c>
      <c r="D21" s="1">
        <v>2300</v>
      </c>
      <c r="E21" s="1">
        <v>62</v>
      </c>
      <c r="F21" s="1">
        <f t="shared" si="5"/>
        <v>7324</v>
      </c>
      <c r="G21" s="1">
        <v>1708</v>
      </c>
      <c r="H21" s="1">
        <v>873</v>
      </c>
      <c r="I21" s="1">
        <f t="shared" si="6"/>
        <v>9686</v>
      </c>
      <c r="J21" s="1">
        <f t="shared" si="2"/>
        <v>2581</v>
      </c>
      <c r="K21" s="1">
        <f t="shared" si="7"/>
        <v>7105</v>
      </c>
      <c r="L21" s="1">
        <v>7200</v>
      </c>
      <c r="M21" s="1">
        <f t="shared" si="4"/>
        <v>95</v>
      </c>
    </row>
    <row r="22" spans="1:15" x14ac:dyDescent="0.25">
      <c r="A22" s="2">
        <v>45798</v>
      </c>
      <c r="B22" s="1" t="s">
        <v>20</v>
      </c>
      <c r="C22" s="1">
        <v>9204</v>
      </c>
      <c r="D22" s="1">
        <v>1950</v>
      </c>
      <c r="E22" s="1">
        <v>30</v>
      </c>
      <c r="F22" s="1">
        <f t="shared" si="5"/>
        <v>7224</v>
      </c>
      <c r="G22" s="1">
        <v>1574</v>
      </c>
      <c r="H22" s="1">
        <v>110</v>
      </c>
      <c r="I22" s="1">
        <f t="shared" si="6"/>
        <v>9204</v>
      </c>
      <c r="J22" s="1">
        <f t="shared" si="2"/>
        <v>1684</v>
      </c>
      <c r="K22" s="1">
        <f t="shared" si="7"/>
        <v>7520</v>
      </c>
      <c r="L22" s="1">
        <v>7470</v>
      </c>
      <c r="M22" s="1">
        <f t="shared" si="4"/>
        <v>-50</v>
      </c>
    </row>
    <row r="23" spans="1:15" x14ac:dyDescent="0.25">
      <c r="A23" s="2">
        <v>45799</v>
      </c>
      <c r="B23" s="1" t="s">
        <v>14</v>
      </c>
      <c r="C23" s="1">
        <v>10166</v>
      </c>
      <c r="D23" s="1">
        <v>2150</v>
      </c>
      <c r="E23" s="1">
        <v>100</v>
      </c>
      <c r="F23" s="1">
        <f t="shared" si="5"/>
        <v>7916</v>
      </c>
      <c r="G23" s="1">
        <v>1954</v>
      </c>
      <c r="H23" s="1">
        <v>2337</v>
      </c>
      <c r="I23" s="1">
        <f t="shared" si="6"/>
        <v>10166</v>
      </c>
      <c r="J23" s="1">
        <f t="shared" si="2"/>
        <v>4291</v>
      </c>
      <c r="K23" s="1">
        <f t="shared" si="7"/>
        <v>5875</v>
      </c>
      <c r="L23" s="1">
        <v>6101</v>
      </c>
      <c r="M23" s="1">
        <f t="shared" si="4"/>
        <v>226</v>
      </c>
      <c r="N23" s="1">
        <v>8688</v>
      </c>
      <c r="O23" s="1" t="s">
        <v>24</v>
      </c>
    </row>
    <row r="24" spans="1:15" x14ac:dyDescent="0.25">
      <c r="A24" s="2">
        <v>45800</v>
      </c>
      <c r="B24" s="1" t="s">
        <v>15</v>
      </c>
      <c r="C24" s="1">
        <v>8673</v>
      </c>
      <c r="D24" s="1">
        <v>1500</v>
      </c>
      <c r="E24" s="1">
        <v>0</v>
      </c>
      <c r="F24" s="1">
        <f t="shared" si="5"/>
        <v>7173</v>
      </c>
      <c r="G24" s="1">
        <v>1670</v>
      </c>
      <c r="H24" s="1">
        <v>110</v>
      </c>
      <c r="I24" s="1">
        <f t="shared" si="6"/>
        <v>8673</v>
      </c>
      <c r="J24" s="1">
        <f t="shared" si="2"/>
        <v>1780</v>
      </c>
      <c r="K24" s="1">
        <f t="shared" si="7"/>
        <v>6893</v>
      </c>
      <c r="L24" s="1">
        <v>6860</v>
      </c>
      <c r="M24" s="1">
        <f t="shared" si="4"/>
        <v>-33</v>
      </c>
    </row>
    <row r="25" spans="1:15" x14ac:dyDescent="0.25">
      <c r="A25" s="2">
        <v>45801</v>
      </c>
      <c r="B25" s="1" t="s">
        <v>16</v>
      </c>
      <c r="C25" s="1">
        <v>16365</v>
      </c>
      <c r="D25" s="1">
        <v>2700</v>
      </c>
      <c r="E25" s="1">
        <v>39</v>
      </c>
      <c r="F25" s="1">
        <f t="shared" si="5"/>
        <v>13626</v>
      </c>
      <c r="G25" s="1">
        <v>917</v>
      </c>
      <c r="H25" s="1">
        <v>366</v>
      </c>
      <c r="I25" s="1">
        <f t="shared" si="6"/>
        <v>16365</v>
      </c>
      <c r="J25" s="1">
        <f t="shared" si="2"/>
        <v>1283</v>
      </c>
      <c r="K25" s="1">
        <f t="shared" si="7"/>
        <v>15082</v>
      </c>
      <c r="L25" s="1">
        <v>15290</v>
      </c>
      <c r="M25" s="1">
        <f t="shared" si="4"/>
        <v>208</v>
      </c>
      <c r="N25" s="1" t="s">
        <v>26</v>
      </c>
    </row>
    <row r="26" spans="1:15" s="4" customFormat="1" x14ac:dyDescent="0.25">
      <c r="A26" s="3">
        <v>45802</v>
      </c>
      <c r="B26" s="4" t="s">
        <v>17</v>
      </c>
      <c r="F26" s="4">
        <f t="shared" si="5"/>
        <v>0</v>
      </c>
      <c r="I26" s="4">
        <f t="shared" si="6"/>
        <v>0</v>
      </c>
      <c r="J26" s="4">
        <f t="shared" si="2"/>
        <v>0</v>
      </c>
      <c r="K26" s="4">
        <f t="shared" si="7"/>
        <v>0</v>
      </c>
      <c r="M26" s="4">
        <f t="shared" si="4"/>
        <v>0</v>
      </c>
    </row>
    <row r="27" spans="1:15" x14ac:dyDescent="0.25">
      <c r="A27" s="2">
        <v>45803</v>
      </c>
      <c r="B27" s="1" t="s">
        <v>18</v>
      </c>
      <c r="C27" s="1">
        <v>19620</v>
      </c>
      <c r="D27" s="1">
        <v>3250</v>
      </c>
      <c r="E27" s="1">
        <v>169</v>
      </c>
      <c r="F27" s="1">
        <f t="shared" si="5"/>
        <v>16201</v>
      </c>
      <c r="G27" s="1">
        <v>4949</v>
      </c>
      <c r="H27" s="1">
        <v>280</v>
      </c>
      <c r="I27" s="1">
        <f t="shared" si="6"/>
        <v>19620</v>
      </c>
      <c r="J27" s="1">
        <f t="shared" si="2"/>
        <v>5229</v>
      </c>
      <c r="K27" s="1">
        <f t="shared" si="7"/>
        <v>14391</v>
      </c>
      <c r="L27" s="1">
        <v>13250</v>
      </c>
      <c r="M27" s="1">
        <f t="shared" si="4"/>
        <v>-1141</v>
      </c>
      <c r="N27" s="1" t="s">
        <v>25</v>
      </c>
    </row>
    <row r="28" spans="1:15" x14ac:dyDescent="0.25">
      <c r="A28" s="2">
        <v>45804</v>
      </c>
      <c r="B28" s="1" t="s">
        <v>19</v>
      </c>
      <c r="C28" s="1">
        <v>17960</v>
      </c>
      <c r="D28" s="1">
        <v>3550</v>
      </c>
      <c r="E28" s="1">
        <v>149</v>
      </c>
      <c r="F28" s="1">
        <f t="shared" si="5"/>
        <v>14261</v>
      </c>
      <c r="G28" s="1">
        <v>4797</v>
      </c>
      <c r="H28" s="1">
        <v>359</v>
      </c>
      <c r="I28" s="1">
        <f t="shared" si="6"/>
        <v>17960</v>
      </c>
      <c r="J28" s="1">
        <f t="shared" si="2"/>
        <v>5156</v>
      </c>
      <c r="K28" s="1">
        <f t="shared" si="7"/>
        <v>12804</v>
      </c>
      <c r="L28" s="1">
        <v>12829</v>
      </c>
      <c r="M28" s="1">
        <f t="shared" si="4"/>
        <v>25</v>
      </c>
    </row>
    <row r="29" spans="1:15" x14ac:dyDescent="0.25">
      <c r="A29" s="2">
        <v>45805</v>
      </c>
      <c r="B29" s="1" t="s">
        <v>20</v>
      </c>
      <c r="C29" s="1">
        <v>11640</v>
      </c>
      <c r="D29" s="1">
        <v>2150</v>
      </c>
      <c r="E29" s="1">
        <v>100</v>
      </c>
      <c r="F29" s="1">
        <f t="shared" si="5"/>
        <v>9390</v>
      </c>
      <c r="G29" s="1">
        <v>2142</v>
      </c>
      <c r="H29" s="1">
        <v>60</v>
      </c>
      <c r="I29" s="1">
        <f t="shared" si="6"/>
        <v>11640</v>
      </c>
      <c r="J29" s="1">
        <f t="shared" si="2"/>
        <v>2202</v>
      </c>
      <c r="K29" s="1">
        <f t="shared" si="7"/>
        <v>9438</v>
      </c>
      <c r="L29" s="1">
        <v>9483</v>
      </c>
      <c r="M29" s="1">
        <f t="shared" si="4"/>
        <v>45</v>
      </c>
    </row>
    <row r="30" spans="1:15" x14ac:dyDescent="0.25">
      <c r="A30" s="2">
        <v>45806</v>
      </c>
      <c r="B30" s="1" t="s">
        <v>14</v>
      </c>
      <c r="C30" s="1">
        <v>11103</v>
      </c>
      <c r="D30" s="1">
        <v>1950</v>
      </c>
      <c r="E30" s="1">
        <v>110</v>
      </c>
      <c r="F30" s="1">
        <f t="shared" si="5"/>
        <v>9043</v>
      </c>
      <c r="G30" s="1">
        <v>2250</v>
      </c>
      <c r="H30" s="1">
        <v>442</v>
      </c>
      <c r="I30" s="1">
        <f t="shared" si="6"/>
        <v>11103</v>
      </c>
      <c r="J30" s="1">
        <f t="shared" si="2"/>
        <v>2692</v>
      </c>
      <c r="K30" s="1">
        <f t="shared" si="7"/>
        <v>8411</v>
      </c>
      <c r="L30" s="1">
        <v>8416</v>
      </c>
      <c r="M30" s="1">
        <f t="shared" si="4"/>
        <v>5</v>
      </c>
    </row>
    <row r="31" spans="1:15" x14ac:dyDescent="0.25">
      <c r="A31" s="2">
        <v>45807</v>
      </c>
      <c r="B31" s="1" t="s">
        <v>15</v>
      </c>
      <c r="C31" s="1">
        <v>14590</v>
      </c>
      <c r="D31" s="1">
        <v>2450</v>
      </c>
      <c r="E31" s="1">
        <v>100</v>
      </c>
      <c r="F31" s="1">
        <f t="shared" si="5"/>
        <v>12040</v>
      </c>
      <c r="G31" s="1">
        <v>2090</v>
      </c>
      <c r="H31" s="1">
        <v>2162</v>
      </c>
      <c r="I31" s="1">
        <f t="shared" si="6"/>
        <v>14590</v>
      </c>
      <c r="J31" s="1">
        <f t="shared" si="2"/>
        <v>4252</v>
      </c>
      <c r="K31" s="1">
        <f t="shared" si="7"/>
        <v>10338</v>
      </c>
      <c r="L31" s="1">
        <v>10300</v>
      </c>
      <c r="M31" s="1">
        <f t="shared" si="4"/>
        <v>-38</v>
      </c>
    </row>
    <row r="32" spans="1:15" x14ac:dyDescent="0.25">
      <c r="A32" s="2">
        <v>45808</v>
      </c>
      <c r="B32" s="1" t="s">
        <v>16</v>
      </c>
      <c r="C32" s="1">
        <v>10135</v>
      </c>
      <c r="D32" s="1">
        <v>2650</v>
      </c>
      <c r="E32" s="1">
        <v>150</v>
      </c>
      <c r="F32" s="1">
        <f t="shared" si="5"/>
        <v>7335</v>
      </c>
      <c r="G32" s="1">
        <v>2895</v>
      </c>
      <c r="H32" s="1">
        <v>70</v>
      </c>
      <c r="I32" s="1">
        <f t="shared" si="6"/>
        <v>10135</v>
      </c>
      <c r="J32" s="1">
        <f t="shared" si="2"/>
        <v>2965</v>
      </c>
      <c r="K32" s="1">
        <f t="shared" si="7"/>
        <v>7170</v>
      </c>
      <c r="L32" s="1">
        <v>7150</v>
      </c>
      <c r="M32" s="1">
        <f t="shared" si="4"/>
        <v>-20</v>
      </c>
    </row>
    <row r="33" spans="1:13" x14ac:dyDescent="0.25">
      <c r="A33" s="2">
        <v>45810</v>
      </c>
      <c r="C33" s="1">
        <v>15508</v>
      </c>
      <c r="D33" s="1">
        <v>4150</v>
      </c>
      <c r="E33" s="1">
        <v>279</v>
      </c>
      <c r="F33" s="1">
        <f t="shared" si="5"/>
        <v>11079</v>
      </c>
      <c r="G33" s="1">
        <v>3883</v>
      </c>
      <c r="H33" s="1">
        <v>152</v>
      </c>
      <c r="I33" s="1">
        <f t="shared" si="6"/>
        <v>15508</v>
      </c>
      <c r="J33" s="1">
        <f t="shared" si="2"/>
        <v>4035</v>
      </c>
      <c r="K33" s="1">
        <f t="shared" si="7"/>
        <v>11473</v>
      </c>
      <c r="L33" s="1">
        <v>10470</v>
      </c>
      <c r="M33" s="1">
        <f t="shared" si="4"/>
        <v>-1003</v>
      </c>
    </row>
    <row r="34" spans="1:13" x14ac:dyDescent="0.25">
      <c r="D34" s="1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KABILAN</dc:creator>
  <cp:lastModifiedBy>Kabilan Padmanaban</cp:lastModifiedBy>
  <dcterms:created xsi:type="dcterms:W3CDTF">2015-06-05T18:17:20Z</dcterms:created>
  <dcterms:modified xsi:type="dcterms:W3CDTF">2025-06-02T16:55:27Z</dcterms:modified>
</cp:coreProperties>
</file>