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MONTHY DATE WISE ACCOUNT\COMPLETE MONTHWISE ACCOUNT\"/>
    </mc:Choice>
  </mc:AlternateContent>
  <xr:revisionPtr revIDLastSave="0" documentId="13_ncr:1_{D8E39EF3-BB7D-42E7-9260-4EECCAD307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F32" i="1"/>
  <c r="I32" i="1" s="1"/>
  <c r="M32" i="1" s="1"/>
  <c r="O32" i="1" s="1"/>
  <c r="O21" i="1"/>
  <c r="M31" i="1"/>
  <c r="O31" i="1" s="1"/>
  <c r="K31" i="1"/>
  <c r="O30" i="1"/>
  <c r="M30" i="1"/>
  <c r="K30" i="1"/>
  <c r="I30" i="1"/>
  <c r="K29" i="1"/>
  <c r="M29" i="1" s="1"/>
  <c r="O29" i="1" s="1"/>
  <c r="I29" i="1"/>
  <c r="K28" i="1"/>
  <c r="O27" i="1"/>
  <c r="M27" i="1"/>
  <c r="K27" i="1"/>
  <c r="K26" i="1"/>
  <c r="M26" i="1" s="1"/>
  <c r="O26" i="1" s="1"/>
  <c r="O25" i="1"/>
  <c r="M25" i="1"/>
  <c r="K25" i="1"/>
  <c r="O24" i="1"/>
  <c r="M24" i="1"/>
  <c r="K24" i="1"/>
  <c r="O23" i="1"/>
  <c r="M23" i="1"/>
  <c r="K23" i="1"/>
  <c r="O17" i="1"/>
  <c r="K22" i="1"/>
  <c r="M21" i="1"/>
  <c r="K21" i="1"/>
  <c r="O20" i="1"/>
  <c r="M20" i="1"/>
  <c r="K20" i="1"/>
  <c r="O19" i="1"/>
  <c r="M19" i="1"/>
  <c r="K19" i="1"/>
  <c r="O18" i="1"/>
  <c r="M18" i="1"/>
  <c r="K18" i="1"/>
  <c r="I18" i="1"/>
  <c r="O16" i="1"/>
  <c r="M17" i="1"/>
  <c r="K17" i="1"/>
  <c r="F16" i="1"/>
  <c r="I16" i="1" s="1"/>
  <c r="M16" i="1" s="1"/>
  <c r="K16" i="1"/>
  <c r="K15" i="1"/>
  <c r="O14" i="1"/>
  <c r="M14" i="1"/>
  <c r="K14" i="1"/>
  <c r="O13" i="1"/>
  <c r="M13" i="1"/>
  <c r="K13" i="1"/>
  <c r="O12" i="1"/>
  <c r="M12" i="1"/>
  <c r="K12" i="1"/>
  <c r="O11" i="1"/>
  <c r="M11" i="1"/>
  <c r="K11" i="1"/>
  <c r="O10" i="1"/>
  <c r="M10" i="1"/>
  <c r="K10" i="1"/>
  <c r="O9" i="1"/>
  <c r="M9" i="1"/>
  <c r="K9" i="1"/>
  <c r="O8" i="1"/>
  <c r="M8" i="1"/>
  <c r="K8" i="1"/>
  <c r="I8" i="1"/>
  <c r="O7" i="1"/>
  <c r="M7" i="1"/>
  <c r="K7" i="1"/>
  <c r="I7" i="1"/>
  <c r="O6" i="1"/>
  <c r="M6" i="1"/>
  <c r="K6" i="1"/>
  <c r="I6" i="1"/>
  <c r="K5" i="1"/>
  <c r="M5" i="1" s="1"/>
  <c r="O5" i="1" s="1"/>
  <c r="I5" i="1"/>
  <c r="O4" i="1"/>
  <c r="K4" i="1"/>
  <c r="M4" i="1" s="1"/>
  <c r="I4" i="1"/>
  <c r="I3" i="1"/>
  <c r="F4" i="1"/>
  <c r="F5" i="1"/>
  <c r="F6" i="1"/>
  <c r="F7" i="1"/>
  <c r="F8" i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M15" i="1" s="1"/>
  <c r="O15" i="1" s="1"/>
  <c r="F17" i="1"/>
  <c r="I17" i="1" s="1"/>
  <c r="F18" i="1"/>
  <c r="F19" i="1"/>
  <c r="I19" i="1" s="1"/>
  <c r="F20" i="1"/>
  <c r="I20" i="1" s="1"/>
  <c r="F21" i="1"/>
  <c r="I21" i="1" s="1"/>
  <c r="F22" i="1"/>
  <c r="I22" i="1" s="1"/>
  <c r="M22" i="1" s="1"/>
  <c r="O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M28" i="1" s="1"/>
  <c r="O28" i="1" s="1"/>
  <c r="F29" i="1"/>
  <c r="F30" i="1"/>
  <c r="F31" i="1"/>
  <c r="I31" i="1" s="1"/>
  <c r="K3" i="1"/>
  <c r="F3" i="1"/>
  <c r="K2" i="1"/>
  <c r="F2" i="1"/>
  <c r="I2" i="1" s="1"/>
  <c r="M3" i="1" l="1"/>
  <c r="O3" i="1" s="1"/>
  <c r="M2" i="1"/>
  <c r="O2" i="1" s="1"/>
</calcChain>
</file>

<file path=xl/sharedStrings.xml><?xml version="1.0" encoding="utf-8"?>
<sst xmlns="http://schemas.openxmlformats.org/spreadsheetml/2006/main" count="63" uniqueCount="39">
  <si>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</si>
  <si>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</si>
  <si>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</si>
  <si>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</si>
  <si>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</si>
  <si>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</si>
  <si>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</si>
  <si>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</si>
  <si>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</si>
  <si>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</si>
  <si>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</si>
  <si>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</si>
  <si>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</si>
  <si>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</si>
  <si>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Extra</t>
  </si>
  <si>
    <t>EXTRA CHARGE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</si>
  <si>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</si>
  <si>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</si>
  <si>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</si>
  <si>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</si>
  <si>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</si>
  <si>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</si>
  <si>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</si>
  <si>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</si>
  <si>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>71-Pendine</t>
  </si>
  <si>
    <t>SIMON MARY 20</t>
  </si>
  <si>
    <t>deficit 4</t>
  </si>
  <si>
    <t>kanakaraj-100</t>
  </si>
  <si>
    <t>219-SAMIYAR</t>
  </si>
  <si>
    <t>2410-Abide bill</t>
  </si>
  <si>
    <t>eauruka!!!</t>
  </si>
  <si>
    <t>varsha-160,shanthi-165,dhanalkshmi-5=330</t>
  </si>
  <si>
    <t>40 excess</t>
  </si>
  <si>
    <t>SHANTHI GPAY 300</t>
  </si>
  <si>
    <t>5 excess</t>
  </si>
  <si>
    <t>324 sowmiya</t>
  </si>
  <si>
    <t>Deficit</t>
  </si>
  <si>
    <t>NAGENDRAN-109</t>
  </si>
  <si>
    <t>NAGENDRAN 334,SOWMIYA BHARAT LAB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</si>
</sst>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1" applyAlignment="1">
      <alignment horizontal="center"/>
    </xf>
    <xf numFmtId="164" fontId="3" fillId="3" borderId="0" xfId="2" applyNumberFormat="1" applyAlignment="1">
      <alignment horizontal="center"/>
    </xf>
    <xf numFmtId="0" fontId="3" fillId="3" borderId="0" xfId="2" applyAlignment="1">
      <alignment horizontal="center"/>
    </xf>
  </cellXfs>
  <cellStyles count="3">
    <cellStyle name="40% - Accent1" xfId="2" builtinId="31"/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zoomScale="90" zoomScaleNormal="90" workbookViewId="0">
      <selection activeCell="O37" sqref="O37"/>
    </sheetView>
  </sheetViews>
  <sheetFormatPr defaultRowHeight="15" x14ac:dyDescent="0.25"/>
  <cols>
    <col min="1" max="1" width="14.7109375" style="1" bestFit="1" customWidth="1"/>
    <col min="2" max="2" width="11.42578125" style="1" bestFit="1" customWidth="1"/>
    <col min="3" max="3" width="33.85546875" style="1" bestFit="1" customWidth="1"/>
    <col min="4" max="4" width="18.42578125" style="1" bestFit="1" customWidth="1"/>
    <col min="5" max="5" width="10.28515625" style="1" bestFit="1" customWidth="1"/>
    <col min="6" max="6" width="21.7109375" style="1" bestFit="1" customWidth="1"/>
    <col min="7" max="7" width="5.7109375" style="1" bestFit="1" customWidth="1"/>
    <col min="8" max="8" width="8.7109375" style="1" bestFit="1" customWidth="1"/>
    <col min="9" max="9" width="9.28515625" style="1" customWidth="1"/>
    <col min="10" max="10" width="18.42578125" style="1" customWidth="1"/>
    <col min="11" max="11" width="15.85546875" style="1" bestFit="1" customWidth="1"/>
    <col min="12" max="12" width="18.42578125" style="1" customWidth="1"/>
    <col min="13" max="13" width="11.7109375" style="1" bestFit="1" customWidth="1"/>
    <col min="14" max="14" width="18" style="1" bestFit="1" customWidth="1"/>
    <col min="15" max="15" width="15.28515625" style="1" bestFit="1" customWidth="1"/>
    <col min="16" max="16" width="41.85546875" style="1" customWidth="1"/>
    <col min="17" max="17" width="40.28515625" style="1" bestFit="1" customWidth="1"/>
    <col min="18" max="16384" width="9.140625" style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</v>
      </c>
      <c r="K1" s="3" t="s">
        <v>9</v>
      </c>
      <c r="L1" s="3" t="s">
        <v>23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25">
      <c r="A2" s="2">
        <v>46235</v>
      </c>
      <c r="B2" s="1" t="s">
        <v>19</v>
      </c>
      <c r="C2" s="1">
        <v>16060</v>
      </c>
      <c r="D2" s="1">
        <v>2550</v>
      </c>
      <c r="E2" s="1">
        <v>0</v>
      </c>
      <c r="F2" s="1">
        <f>SUM(C2-D2-E2)</f>
        <v>13510</v>
      </c>
      <c r="G2" s="1">
        <v>4313</v>
      </c>
      <c r="H2" s="1">
        <v>420</v>
      </c>
      <c r="I2" s="1">
        <f t="shared" ref="I2:I32" si="0">SUM(D2,E2,F2)</f>
        <v>16060</v>
      </c>
      <c r="J2" s="1">
        <v>150</v>
      </c>
      <c r="K2" s="1">
        <f t="shared" ref="K2:K32" si="1">SUM(G2,H2)</f>
        <v>4733</v>
      </c>
      <c r="L2" s="1">
        <v>0</v>
      </c>
      <c r="M2" s="1">
        <f t="shared" ref="M2:M32" si="2">SUM(I2,J2-K2-L2)</f>
        <v>11477</v>
      </c>
      <c r="N2" s="1">
        <v>11477</v>
      </c>
      <c r="O2" s="1">
        <f t="shared" ref="O2:O32" si="3">SUM(N2-M2)</f>
        <v>0</v>
      </c>
      <c r="P2" s="1" t="s">
        <v>24</v>
      </c>
    </row>
    <row r="3" spans="1:17" x14ac:dyDescent="0.25">
      <c r="A3" s="2">
        <v>46236</v>
      </c>
      <c r="B3" s="1" t="s">
        <v>20</v>
      </c>
      <c r="C3" s="1">
        <v>18191</v>
      </c>
      <c r="D3" s="1">
        <v>3650</v>
      </c>
      <c r="E3" s="1">
        <v>0</v>
      </c>
      <c r="F3" s="1">
        <f>SUM(C3-D3-E3)</f>
        <v>14541</v>
      </c>
      <c r="G3" s="1">
        <v>3620</v>
      </c>
      <c r="H3" s="1">
        <v>360</v>
      </c>
      <c r="I3" s="1">
        <f t="shared" si="0"/>
        <v>18191</v>
      </c>
      <c r="J3" s="1">
        <v>45</v>
      </c>
      <c r="K3" s="1">
        <f t="shared" si="1"/>
        <v>3980</v>
      </c>
      <c r="L3" s="1">
        <v>0</v>
      </c>
      <c r="M3" s="1">
        <f t="shared" si="2"/>
        <v>14256</v>
      </c>
      <c r="N3" s="1">
        <v>14235</v>
      </c>
      <c r="O3" s="1">
        <f t="shared" si="3"/>
        <v>-21</v>
      </c>
      <c r="P3" s="1" t="s">
        <v>25</v>
      </c>
    </row>
    <row r="4" spans="1:17" s="5" customFormat="1" x14ac:dyDescent="0.25">
      <c r="A4" s="4">
        <v>46237</v>
      </c>
      <c r="B4" s="5" t="s">
        <v>21</v>
      </c>
      <c r="C4" s="5">
        <v>8719</v>
      </c>
      <c r="D4" s="5">
        <v>1300</v>
      </c>
      <c r="E4" s="5">
        <v>0</v>
      </c>
      <c r="F4" s="5">
        <f t="shared" ref="F4:F32" si="4">SUM(C4-D4-E4)</f>
        <v>7419</v>
      </c>
      <c r="G4" s="5">
        <v>1600</v>
      </c>
      <c r="H4" s="5">
        <v>0</v>
      </c>
      <c r="I4" s="5">
        <f t="shared" si="0"/>
        <v>8719</v>
      </c>
      <c r="J4" s="5">
        <v>65</v>
      </c>
      <c r="K4" s="5">
        <f t="shared" si="1"/>
        <v>1600</v>
      </c>
      <c r="L4" s="5">
        <v>0</v>
      </c>
      <c r="M4" s="5">
        <f t="shared" si="2"/>
        <v>7184</v>
      </c>
      <c r="N4" s="5">
        <v>7185</v>
      </c>
      <c r="O4" s="5">
        <f t="shared" si="3"/>
        <v>1</v>
      </c>
    </row>
    <row r="5" spans="1:17" x14ac:dyDescent="0.25">
      <c r="A5" s="2">
        <v>46238</v>
      </c>
      <c r="B5" s="1" t="s">
        <v>22</v>
      </c>
      <c r="C5" s="1">
        <v>19784</v>
      </c>
      <c r="D5" s="1">
        <v>3750</v>
      </c>
      <c r="E5" s="1">
        <v>0</v>
      </c>
      <c r="F5" s="1">
        <f t="shared" si="4"/>
        <v>16034</v>
      </c>
      <c r="G5" s="1">
        <v>6215</v>
      </c>
      <c r="H5" s="1">
        <v>145</v>
      </c>
      <c r="I5" s="1">
        <f t="shared" si="0"/>
        <v>19784</v>
      </c>
      <c r="J5" s="1">
        <v>20</v>
      </c>
      <c r="K5" s="1">
        <f t="shared" si="1"/>
        <v>6360</v>
      </c>
      <c r="L5" s="1">
        <v>0</v>
      </c>
      <c r="M5" s="1">
        <f t="shared" si="2"/>
        <v>13444</v>
      </c>
      <c r="N5" s="1">
        <v>13450</v>
      </c>
      <c r="O5" s="1">
        <f t="shared" si="3"/>
        <v>6</v>
      </c>
      <c r="P5" s="1" t="s">
        <v>26</v>
      </c>
    </row>
    <row r="6" spans="1:17" x14ac:dyDescent="0.25">
      <c r="A6" s="2">
        <v>46239</v>
      </c>
      <c r="B6" s="1" t="s">
        <v>16</v>
      </c>
      <c r="C6" s="1">
        <v>13089</v>
      </c>
      <c r="D6" s="1">
        <v>1650</v>
      </c>
      <c r="E6" s="1">
        <v>0</v>
      </c>
      <c r="F6" s="1">
        <f t="shared" si="4"/>
        <v>11439</v>
      </c>
      <c r="G6" s="1">
        <v>6012</v>
      </c>
      <c r="H6" s="1">
        <v>2</v>
      </c>
      <c r="I6" s="1">
        <f t="shared" si="0"/>
        <v>13089</v>
      </c>
      <c r="J6" s="1">
        <v>0</v>
      </c>
      <c r="K6" s="1">
        <f t="shared" si="1"/>
        <v>6014</v>
      </c>
      <c r="L6" s="1">
        <v>95</v>
      </c>
      <c r="M6" s="1">
        <f t="shared" si="2"/>
        <v>6980</v>
      </c>
      <c r="N6" s="1">
        <v>6978</v>
      </c>
      <c r="O6" s="1">
        <f t="shared" si="3"/>
        <v>-2</v>
      </c>
    </row>
    <row r="7" spans="1:17" customFormat="1" x14ac:dyDescent="0.25">
      <c r="A7" s="2">
        <v>46240</v>
      </c>
      <c r="B7" s="1" t="s">
        <v>17</v>
      </c>
      <c r="C7" s="1">
        <v>9442</v>
      </c>
      <c r="D7" s="1">
        <v>2000</v>
      </c>
      <c r="E7" s="1">
        <v>0</v>
      </c>
      <c r="F7" s="1">
        <f t="shared" si="4"/>
        <v>7442</v>
      </c>
      <c r="G7" s="1">
        <v>2018</v>
      </c>
      <c r="H7" s="1">
        <v>203</v>
      </c>
      <c r="I7" s="1">
        <f t="shared" si="0"/>
        <v>9442</v>
      </c>
      <c r="J7" s="1">
        <v>10</v>
      </c>
      <c r="K7" s="1">
        <f t="shared" si="1"/>
        <v>2221</v>
      </c>
      <c r="L7" s="1">
        <v>0</v>
      </c>
      <c r="M7" s="1">
        <f t="shared" si="2"/>
        <v>7231</v>
      </c>
      <c r="N7" s="1">
        <v>7230</v>
      </c>
      <c r="O7" s="1">
        <f t="shared" si="3"/>
        <v>-1</v>
      </c>
      <c r="P7" s="1"/>
      <c r="Q7" s="1"/>
    </row>
    <row r="8" spans="1:17" x14ac:dyDescent="0.25">
      <c r="A8" s="2">
        <v>46241</v>
      </c>
      <c r="B8" s="1" t="s">
        <v>18</v>
      </c>
      <c r="C8" s="1">
        <v>18823</v>
      </c>
      <c r="D8" s="1">
        <v>2850</v>
      </c>
      <c r="E8" s="1">
        <v>0</v>
      </c>
      <c r="F8" s="1">
        <f t="shared" si="4"/>
        <v>15973</v>
      </c>
      <c r="G8" s="1">
        <v>5070</v>
      </c>
      <c r="H8" s="1">
        <v>5</v>
      </c>
      <c r="I8" s="1">
        <f t="shared" si="0"/>
        <v>18823</v>
      </c>
      <c r="J8" s="1">
        <v>150</v>
      </c>
      <c r="K8" s="1">
        <f t="shared" si="1"/>
        <v>5075</v>
      </c>
      <c r="L8" s="1">
        <v>0</v>
      </c>
      <c r="M8" s="1">
        <f t="shared" si="2"/>
        <v>13898</v>
      </c>
      <c r="N8" s="1">
        <v>13898</v>
      </c>
      <c r="O8" s="1">
        <f t="shared" si="3"/>
        <v>0</v>
      </c>
    </row>
    <row r="9" spans="1:17" customFormat="1" x14ac:dyDescent="0.25">
      <c r="A9" s="2">
        <v>46242</v>
      </c>
      <c r="B9" s="1" t="s">
        <v>19</v>
      </c>
      <c r="C9" s="1">
        <v>15071</v>
      </c>
      <c r="D9" s="1">
        <v>2100</v>
      </c>
      <c r="E9" s="1">
        <v>0</v>
      </c>
      <c r="F9" s="1">
        <f t="shared" si="4"/>
        <v>12971</v>
      </c>
      <c r="G9" s="1">
        <v>180</v>
      </c>
      <c r="H9" s="1">
        <v>510</v>
      </c>
      <c r="I9" s="1">
        <f t="shared" si="0"/>
        <v>15071</v>
      </c>
      <c r="J9" s="1">
        <v>50</v>
      </c>
      <c r="K9" s="1">
        <f t="shared" si="1"/>
        <v>690</v>
      </c>
      <c r="L9" s="1">
        <v>0</v>
      </c>
      <c r="M9" s="1">
        <f t="shared" si="2"/>
        <v>14431</v>
      </c>
      <c r="N9" s="1">
        <v>14416</v>
      </c>
      <c r="O9" s="1">
        <f t="shared" si="3"/>
        <v>-15</v>
      </c>
      <c r="P9" s="1"/>
      <c r="Q9" s="1"/>
    </row>
    <row r="10" spans="1:17" x14ac:dyDescent="0.25">
      <c r="A10" s="2">
        <v>46243</v>
      </c>
      <c r="B10" s="1" t="s">
        <v>20</v>
      </c>
      <c r="C10" s="1">
        <v>22029</v>
      </c>
      <c r="D10" s="1">
        <v>3450</v>
      </c>
      <c r="E10" s="1">
        <v>0</v>
      </c>
      <c r="F10" s="1">
        <f t="shared" si="4"/>
        <v>18579</v>
      </c>
      <c r="G10" s="1">
        <v>8150</v>
      </c>
      <c r="H10" s="1">
        <v>97</v>
      </c>
      <c r="I10" s="1">
        <f t="shared" si="0"/>
        <v>22029</v>
      </c>
      <c r="J10" s="1">
        <v>90</v>
      </c>
      <c r="K10" s="1">
        <f t="shared" si="1"/>
        <v>8247</v>
      </c>
      <c r="L10" s="1">
        <v>741</v>
      </c>
      <c r="M10" s="1">
        <f t="shared" si="2"/>
        <v>13131</v>
      </c>
      <c r="N10" s="1">
        <v>13440</v>
      </c>
      <c r="O10" s="1">
        <f t="shared" si="3"/>
        <v>309</v>
      </c>
    </row>
    <row r="11" spans="1:17" s="5" customFormat="1" x14ac:dyDescent="0.25">
      <c r="A11" s="4">
        <v>46244</v>
      </c>
      <c r="B11" s="5" t="s">
        <v>21</v>
      </c>
      <c r="C11" s="5">
        <v>3883</v>
      </c>
      <c r="D11" s="5">
        <v>600</v>
      </c>
      <c r="E11" s="5">
        <v>0</v>
      </c>
      <c r="F11" s="5">
        <f t="shared" si="4"/>
        <v>3283</v>
      </c>
      <c r="G11" s="5">
        <v>1133</v>
      </c>
      <c r="H11" s="5">
        <v>250</v>
      </c>
      <c r="I11" s="5">
        <f t="shared" si="0"/>
        <v>3883</v>
      </c>
      <c r="J11" s="5">
        <v>0</v>
      </c>
      <c r="K11" s="5">
        <f t="shared" si="1"/>
        <v>1383</v>
      </c>
      <c r="L11" s="5">
        <v>0</v>
      </c>
      <c r="M11" s="5">
        <f t="shared" si="2"/>
        <v>2500</v>
      </c>
      <c r="N11" s="5">
        <v>2400</v>
      </c>
      <c r="O11" s="5">
        <f t="shared" si="3"/>
        <v>-100</v>
      </c>
      <c r="P11" s="5" t="s">
        <v>27</v>
      </c>
    </row>
    <row r="12" spans="1:17" x14ac:dyDescent="0.25">
      <c r="A12" s="2">
        <v>46245</v>
      </c>
      <c r="B12" s="1" t="s">
        <v>22</v>
      </c>
      <c r="C12" s="1">
        <v>18585</v>
      </c>
      <c r="D12" s="1">
        <v>3300</v>
      </c>
      <c r="E12" s="1">
        <v>0</v>
      </c>
      <c r="F12" s="1">
        <f t="shared" si="4"/>
        <v>15285</v>
      </c>
      <c r="G12" s="1">
        <v>1248</v>
      </c>
      <c r="H12" s="1">
        <v>710</v>
      </c>
      <c r="I12" s="1">
        <f t="shared" si="0"/>
        <v>18585</v>
      </c>
      <c r="J12" s="1">
        <v>187</v>
      </c>
      <c r="K12" s="1">
        <f t="shared" si="1"/>
        <v>1958</v>
      </c>
      <c r="L12" s="1">
        <v>0</v>
      </c>
      <c r="M12" s="1">
        <f t="shared" si="2"/>
        <v>16814</v>
      </c>
      <c r="N12" s="1">
        <v>16600</v>
      </c>
      <c r="O12" s="1">
        <f t="shared" si="3"/>
        <v>-214</v>
      </c>
      <c r="P12" s="1" t="s">
        <v>28</v>
      </c>
    </row>
    <row r="13" spans="1:17" x14ac:dyDescent="0.25">
      <c r="A13" s="2">
        <v>46246</v>
      </c>
      <c r="B13" s="1" t="s">
        <v>16</v>
      </c>
      <c r="C13" s="1">
        <v>19308</v>
      </c>
      <c r="D13" s="1">
        <v>3000</v>
      </c>
      <c r="E13" s="1">
        <v>0</v>
      </c>
      <c r="F13" s="1">
        <f t="shared" si="4"/>
        <v>16308</v>
      </c>
      <c r="G13" s="1">
        <v>3703</v>
      </c>
      <c r="H13" s="1">
        <v>142</v>
      </c>
      <c r="I13" s="1">
        <f t="shared" si="0"/>
        <v>19308</v>
      </c>
      <c r="J13" s="1">
        <v>100</v>
      </c>
      <c r="K13" s="1">
        <f t="shared" si="1"/>
        <v>3845</v>
      </c>
      <c r="L13" s="1">
        <v>140</v>
      </c>
      <c r="M13" s="1">
        <f t="shared" si="2"/>
        <v>15423</v>
      </c>
      <c r="N13" s="1">
        <v>15450</v>
      </c>
      <c r="O13" s="1">
        <f t="shared" si="3"/>
        <v>27</v>
      </c>
    </row>
    <row r="14" spans="1:17" customFormat="1" x14ac:dyDescent="0.25">
      <c r="A14" s="2">
        <v>46247</v>
      </c>
      <c r="B14" s="1" t="s">
        <v>17</v>
      </c>
      <c r="C14" s="1">
        <v>19637</v>
      </c>
      <c r="D14" s="1">
        <v>2700</v>
      </c>
      <c r="E14" s="1">
        <v>0</v>
      </c>
      <c r="F14" s="1">
        <f t="shared" si="4"/>
        <v>16937</v>
      </c>
      <c r="G14" s="1">
        <v>6483</v>
      </c>
      <c r="H14" s="1">
        <v>2445</v>
      </c>
      <c r="I14" s="1">
        <f t="shared" si="0"/>
        <v>19637</v>
      </c>
      <c r="J14" s="1">
        <v>0</v>
      </c>
      <c r="K14" s="1">
        <f t="shared" si="1"/>
        <v>8928</v>
      </c>
      <c r="L14" s="1">
        <v>0</v>
      </c>
      <c r="M14" s="1">
        <f t="shared" si="2"/>
        <v>10709</v>
      </c>
      <c r="N14" s="1">
        <v>10710</v>
      </c>
      <c r="O14" s="1">
        <f t="shared" si="3"/>
        <v>1</v>
      </c>
      <c r="P14" s="1" t="s">
        <v>29</v>
      </c>
      <c r="Q14" s="1"/>
    </row>
    <row r="15" spans="1:17" x14ac:dyDescent="0.25">
      <c r="A15" s="2">
        <v>46248</v>
      </c>
      <c r="B15" s="1" t="s">
        <v>18</v>
      </c>
      <c r="C15" s="1">
        <v>18689</v>
      </c>
      <c r="D15" s="1">
        <v>3300</v>
      </c>
      <c r="E15" s="1">
        <v>0</v>
      </c>
      <c r="F15" s="1">
        <f t="shared" si="4"/>
        <v>15389</v>
      </c>
      <c r="G15" s="1">
        <v>4631</v>
      </c>
      <c r="H15" s="1">
        <v>110</v>
      </c>
      <c r="I15" s="1">
        <f t="shared" si="0"/>
        <v>18689</v>
      </c>
      <c r="J15" s="1">
        <v>2</v>
      </c>
      <c r="K15" s="1">
        <f t="shared" si="1"/>
        <v>4741</v>
      </c>
      <c r="L15" s="1">
        <v>0</v>
      </c>
      <c r="M15" s="1">
        <f t="shared" si="2"/>
        <v>13950</v>
      </c>
      <c r="N15" s="1">
        <v>13950</v>
      </c>
      <c r="O15" s="1">
        <f t="shared" si="3"/>
        <v>0</v>
      </c>
      <c r="P15" s="1" t="s">
        <v>30</v>
      </c>
    </row>
    <row r="16" spans="1:17" customFormat="1" x14ac:dyDescent="0.25">
      <c r="A16" s="2">
        <v>46249</v>
      </c>
      <c r="B16" s="1" t="s">
        <v>19</v>
      </c>
      <c r="C16" s="1">
        <v>17088</v>
      </c>
      <c r="D16" s="1">
        <v>3150</v>
      </c>
      <c r="E16" s="1">
        <v>0</v>
      </c>
      <c r="F16" s="1">
        <f>SUM(C16-D16-E16)</f>
        <v>13938</v>
      </c>
      <c r="G16" s="1">
        <v>3391</v>
      </c>
      <c r="H16" s="1">
        <v>61</v>
      </c>
      <c r="I16" s="1">
        <f t="shared" si="0"/>
        <v>17088</v>
      </c>
      <c r="J16" s="1">
        <v>2</v>
      </c>
      <c r="K16" s="1">
        <f t="shared" si="1"/>
        <v>3452</v>
      </c>
      <c r="L16" s="1">
        <v>0</v>
      </c>
      <c r="M16" s="1">
        <f t="shared" si="2"/>
        <v>13638</v>
      </c>
      <c r="N16" s="1">
        <v>13640</v>
      </c>
      <c r="O16" s="1">
        <f t="shared" si="3"/>
        <v>2</v>
      </c>
      <c r="P16" s="1"/>
      <c r="Q16" s="1"/>
    </row>
    <row r="17" spans="1:17" x14ac:dyDescent="0.25">
      <c r="A17" s="2">
        <v>46250</v>
      </c>
      <c r="B17" s="1" t="s">
        <v>20</v>
      </c>
      <c r="C17" s="1">
        <v>16354</v>
      </c>
      <c r="D17" s="1">
        <v>2700</v>
      </c>
      <c r="E17" s="1">
        <v>150</v>
      </c>
      <c r="F17" s="1">
        <f t="shared" si="4"/>
        <v>13504</v>
      </c>
      <c r="G17" s="1">
        <v>5348</v>
      </c>
      <c r="H17" s="1">
        <v>211</v>
      </c>
      <c r="I17" s="1">
        <f t="shared" si="0"/>
        <v>16354</v>
      </c>
      <c r="J17" s="1">
        <v>50</v>
      </c>
      <c r="K17" s="1">
        <f t="shared" si="1"/>
        <v>5559</v>
      </c>
      <c r="L17" s="1">
        <v>0</v>
      </c>
      <c r="M17" s="1">
        <f t="shared" si="2"/>
        <v>10845</v>
      </c>
      <c r="N17" s="1">
        <v>10847</v>
      </c>
      <c r="O17" s="1">
        <f>SUM(N17-M17)</f>
        <v>2</v>
      </c>
    </row>
    <row r="18" spans="1:17" s="5" customFormat="1" x14ac:dyDescent="0.25">
      <c r="A18" s="4">
        <v>46251</v>
      </c>
      <c r="B18" s="5" t="s">
        <v>21</v>
      </c>
      <c r="C18" s="5">
        <v>14433</v>
      </c>
      <c r="D18" s="5">
        <v>3250</v>
      </c>
      <c r="E18" s="5">
        <v>150</v>
      </c>
      <c r="F18" s="5">
        <f t="shared" si="4"/>
        <v>11033</v>
      </c>
      <c r="G18" s="5">
        <v>4400</v>
      </c>
      <c r="H18" s="5">
        <v>60</v>
      </c>
      <c r="I18" s="5">
        <f t="shared" si="0"/>
        <v>14433</v>
      </c>
      <c r="J18" s="5">
        <v>0</v>
      </c>
      <c r="K18" s="5">
        <f t="shared" si="1"/>
        <v>4460</v>
      </c>
      <c r="L18" s="5">
        <v>0</v>
      </c>
      <c r="M18" s="5">
        <f t="shared" si="2"/>
        <v>9973</v>
      </c>
      <c r="N18" s="5">
        <v>9973</v>
      </c>
      <c r="O18" s="5">
        <f t="shared" si="3"/>
        <v>0</v>
      </c>
    </row>
    <row r="19" spans="1:17" x14ac:dyDescent="0.25">
      <c r="A19" s="2">
        <v>46252</v>
      </c>
      <c r="B19" s="1" t="s">
        <v>22</v>
      </c>
      <c r="C19" s="1">
        <v>27761</v>
      </c>
      <c r="D19" s="1">
        <v>5550</v>
      </c>
      <c r="E19" s="1">
        <v>786</v>
      </c>
      <c r="F19" s="1">
        <f t="shared" si="4"/>
        <v>21425</v>
      </c>
      <c r="G19" s="1">
        <v>3906</v>
      </c>
      <c r="H19" s="1">
        <v>65</v>
      </c>
      <c r="I19" s="1">
        <f t="shared" si="0"/>
        <v>27761</v>
      </c>
      <c r="J19" s="1">
        <v>300</v>
      </c>
      <c r="K19" s="1">
        <f t="shared" si="1"/>
        <v>3971</v>
      </c>
      <c r="L19" s="1">
        <v>0</v>
      </c>
      <c r="M19" s="1">
        <f t="shared" si="2"/>
        <v>24090</v>
      </c>
      <c r="N19" s="1">
        <v>23800</v>
      </c>
      <c r="O19" s="1">
        <f t="shared" si="3"/>
        <v>-290</v>
      </c>
      <c r="P19" s="1" t="s">
        <v>31</v>
      </c>
      <c r="Q19" s="1" t="s">
        <v>32</v>
      </c>
    </row>
    <row r="20" spans="1:17" x14ac:dyDescent="0.25">
      <c r="A20" s="2">
        <v>46253</v>
      </c>
      <c r="B20" s="1" t="s">
        <v>16</v>
      </c>
      <c r="C20" s="1">
        <v>19193</v>
      </c>
      <c r="D20" s="1">
        <v>3000</v>
      </c>
      <c r="E20" s="1">
        <v>670</v>
      </c>
      <c r="F20" s="1">
        <f t="shared" si="4"/>
        <v>15523</v>
      </c>
      <c r="G20" s="1">
        <v>3674</v>
      </c>
      <c r="H20" s="1">
        <v>205</v>
      </c>
      <c r="I20" s="1">
        <f t="shared" si="0"/>
        <v>19193</v>
      </c>
      <c r="J20" s="1">
        <v>0</v>
      </c>
      <c r="K20" s="1">
        <f t="shared" si="1"/>
        <v>3879</v>
      </c>
      <c r="L20" s="1">
        <v>60</v>
      </c>
      <c r="M20" s="1">
        <f t="shared" si="2"/>
        <v>15254</v>
      </c>
      <c r="N20" s="1">
        <v>15250</v>
      </c>
      <c r="O20" s="1">
        <f t="shared" si="3"/>
        <v>-4</v>
      </c>
      <c r="P20" s="1" t="s">
        <v>33</v>
      </c>
    </row>
    <row r="21" spans="1:17" customFormat="1" x14ac:dyDescent="0.25">
      <c r="A21" s="2">
        <v>46254</v>
      </c>
      <c r="B21" s="1" t="s">
        <v>17</v>
      </c>
      <c r="C21" s="1">
        <v>21971</v>
      </c>
      <c r="D21" s="1">
        <v>3450</v>
      </c>
      <c r="E21" s="1">
        <v>550</v>
      </c>
      <c r="F21" s="1">
        <f t="shared" si="4"/>
        <v>17971</v>
      </c>
      <c r="G21" s="1">
        <v>5811</v>
      </c>
      <c r="H21" s="1">
        <v>200</v>
      </c>
      <c r="I21" s="1">
        <f t="shared" si="0"/>
        <v>21971</v>
      </c>
      <c r="J21" s="1">
        <v>304</v>
      </c>
      <c r="K21" s="1">
        <f t="shared" si="1"/>
        <v>6011</v>
      </c>
      <c r="L21" s="1">
        <v>298</v>
      </c>
      <c r="M21" s="1">
        <f t="shared" si="2"/>
        <v>15966</v>
      </c>
      <c r="N21" s="1">
        <v>15966</v>
      </c>
      <c r="O21" s="1">
        <f>SUM(N21-M21)</f>
        <v>0</v>
      </c>
      <c r="P21" s="1"/>
      <c r="Q21" s="1"/>
    </row>
    <row r="22" spans="1:17" x14ac:dyDescent="0.25">
      <c r="A22" s="2">
        <v>46255</v>
      </c>
      <c r="B22" s="1" t="s">
        <v>18</v>
      </c>
      <c r="C22" s="1">
        <v>20878</v>
      </c>
      <c r="D22" s="1">
        <v>3300</v>
      </c>
      <c r="E22" s="1">
        <v>960</v>
      </c>
      <c r="F22" s="1">
        <f t="shared" si="4"/>
        <v>16618</v>
      </c>
      <c r="G22" s="1">
        <v>5426</v>
      </c>
      <c r="H22" s="1">
        <v>170</v>
      </c>
      <c r="I22" s="1">
        <f t="shared" si="0"/>
        <v>20878</v>
      </c>
      <c r="J22" s="1">
        <v>0</v>
      </c>
      <c r="K22" s="1">
        <f t="shared" si="1"/>
        <v>5596</v>
      </c>
      <c r="L22" s="1">
        <v>0</v>
      </c>
      <c r="M22" s="1">
        <f t="shared" si="2"/>
        <v>15282</v>
      </c>
      <c r="N22" s="1">
        <v>15150</v>
      </c>
      <c r="O22" s="1">
        <f t="shared" si="3"/>
        <v>-132</v>
      </c>
    </row>
    <row r="23" spans="1:17" customFormat="1" x14ac:dyDescent="0.25">
      <c r="A23" s="2">
        <v>46256</v>
      </c>
      <c r="B23" s="1" t="s">
        <v>19</v>
      </c>
      <c r="C23" s="1">
        <v>14966</v>
      </c>
      <c r="D23" s="1">
        <v>2250</v>
      </c>
      <c r="E23" s="1">
        <v>500</v>
      </c>
      <c r="F23" s="1">
        <f t="shared" si="4"/>
        <v>12216</v>
      </c>
      <c r="G23" s="1">
        <v>2495</v>
      </c>
      <c r="H23" s="1">
        <v>315</v>
      </c>
      <c r="I23" s="1">
        <f t="shared" si="0"/>
        <v>14966</v>
      </c>
      <c r="J23" s="1">
        <v>0</v>
      </c>
      <c r="K23" s="1">
        <f t="shared" si="1"/>
        <v>2810</v>
      </c>
      <c r="L23" s="1">
        <v>0</v>
      </c>
      <c r="M23" s="1">
        <f t="shared" si="2"/>
        <v>12156</v>
      </c>
      <c r="N23" s="1">
        <v>10600</v>
      </c>
      <c r="O23" s="1">
        <f t="shared" si="3"/>
        <v>-1556</v>
      </c>
      <c r="P23" s="1" t="s">
        <v>34</v>
      </c>
      <c r="Q23" s="1"/>
    </row>
    <row r="24" spans="1:17" x14ac:dyDescent="0.25">
      <c r="A24" s="2">
        <v>46257</v>
      </c>
      <c r="B24" s="1" t="s">
        <v>20</v>
      </c>
      <c r="C24" s="1">
        <v>27359</v>
      </c>
      <c r="D24" s="1">
        <v>4200</v>
      </c>
      <c r="E24" s="1">
        <v>600</v>
      </c>
      <c r="F24" s="1">
        <f t="shared" si="4"/>
        <v>22559</v>
      </c>
      <c r="G24" s="1">
        <v>7022</v>
      </c>
      <c r="H24" s="1">
        <v>770</v>
      </c>
      <c r="I24" s="1">
        <f t="shared" si="0"/>
        <v>27359</v>
      </c>
      <c r="J24" s="1">
        <v>0</v>
      </c>
      <c r="K24" s="1">
        <f t="shared" si="1"/>
        <v>7792</v>
      </c>
      <c r="L24" s="1">
        <v>0</v>
      </c>
      <c r="M24" s="1">
        <f t="shared" si="2"/>
        <v>19567</v>
      </c>
      <c r="N24" s="1">
        <v>19570</v>
      </c>
      <c r="O24" s="1">
        <f t="shared" si="3"/>
        <v>3</v>
      </c>
    </row>
    <row r="25" spans="1:17" s="5" customFormat="1" x14ac:dyDescent="0.25">
      <c r="A25" s="4">
        <v>46258</v>
      </c>
      <c r="B25" s="5" t="s">
        <v>21</v>
      </c>
      <c r="C25" s="5">
        <v>4809</v>
      </c>
      <c r="D25" s="5">
        <v>1050</v>
      </c>
      <c r="E25" s="5">
        <v>150</v>
      </c>
      <c r="F25" s="5">
        <f t="shared" si="4"/>
        <v>3609</v>
      </c>
      <c r="G25" s="5">
        <v>981</v>
      </c>
      <c r="H25" s="5">
        <v>100</v>
      </c>
      <c r="I25" s="5">
        <f t="shared" si="0"/>
        <v>4809</v>
      </c>
      <c r="J25" s="5">
        <v>40</v>
      </c>
      <c r="K25" s="5">
        <f t="shared" si="1"/>
        <v>1081</v>
      </c>
      <c r="L25" s="5">
        <v>0</v>
      </c>
      <c r="M25" s="5">
        <f t="shared" si="2"/>
        <v>3768</v>
      </c>
      <c r="N25" s="5">
        <v>3770</v>
      </c>
      <c r="O25" s="5">
        <f t="shared" si="3"/>
        <v>2</v>
      </c>
    </row>
    <row r="26" spans="1:17" x14ac:dyDescent="0.25">
      <c r="A26" s="2">
        <v>46259</v>
      </c>
      <c r="B26" s="1" t="s">
        <v>22</v>
      </c>
      <c r="C26" s="1">
        <v>31169</v>
      </c>
      <c r="D26" s="1">
        <v>7350</v>
      </c>
      <c r="E26" s="1">
        <v>400</v>
      </c>
      <c r="F26" s="1">
        <f t="shared" si="4"/>
        <v>23419</v>
      </c>
      <c r="G26" s="1">
        <v>6062</v>
      </c>
      <c r="H26" s="1">
        <v>198</v>
      </c>
      <c r="I26" s="1">
        <f t="shared" si="0"/>
        <v>31169</v>
      </c>
      <c r="J26" s="1">
        <v>0</v>
      </c>
      <c r="K26" s="1">
        <f t="shared" si="1"/>
        <v>6260</v>
      </c>
      <c r="L26" s="1">
        <v>0</v>
      </c>
      <c r="M26" s="1">
        <f t="shared" si="2"/>
        <v>24909</v>
      </c>
      <c r="N26" s="1">
        <v>24905</v>
      </c>
      <c r="O26" s="1">
        <f t="shared" si="3"/>
        <v>-4</v>
      </c>
    </row>
    <row r="27" spans="1:17" x14ac:dyDescent="0.25">
      <c r="A27" s="2">
        <v>46260</v>
      </c>
      <c r="B27" s="1" t="s">
        <v>16</v>
      </c>
      <c r="C27" s="1">
        <v>19366</v>
      </c>
      <c r="D27" s="1">
        <v>4500</v>
      </c>
      <c r="E27" s="1">
        <v>300</v>
      </c>
      <c r="F27" s="1">
        <f t="shared" si="4"/>
        <v>14566</v>
      </c>
      <c r="G27" s="1">
        <v>4822</v>
      </c>
      <c r="H27" s="1">
        <v>781</v>
      </c>
      <c r="I27" s="1">
        <f t="shared" si="0"/>
        <v>19366</v>
      </c>
      <c r="J27" s="1">
        <v>0</v>
      </c>
      <c r="K27" s="1">
        <f t="shared" si="1"/>
        <v>5603</v>
      </c>
      <c r="L27" s="1">
        <v>0</v>
      </c>
      <c r="M27" s="1">
        <f t="shared" si="2"/>
        <v>13763</v>
      </c>
      <c r="N27" s="1">
        <v>13766</v>
      </c>
      <c r="O27" s="1">
        <f t="shared" si="3"/>
        <v>3</v>
      </c>
    </row>
    <row r="28" spans="1:17" customFormat="1" x14ac:dyDescent="0.25">
      <c r="A28" s="2">
        <v>46261</v>
      </c>
      <c r="B28" s="1" t="s">
        <v>17</v>
      </c>
      <c r="C28" s="1">
        <v>22821</v>
      </c>
      <c r="D28" s="1">
        <v>3700</v>
      </c>
      <c r="E28" s="1">
        <v>422</v>
      </c>
      <c r="F28" s="1">
        <f t="shared" si="4"/>
        <v>18699</v>
      </c>
      <c r="G28" s="1">
        <v>9638</v>
      </c>
      <c r="H28" s="1">
        <v>130</v>
      </c>
      <c r="I28" s="1">
        <f t="shared" si="0"/>
        <v>22821</v>
      </c>
      <c r="J28" s="1">
        <v>0</v>
      </c>
      <c r="K28" s="1">
        <f t="shared" si="1"/>
        <v>9768</v>
      </c>
      <c r="L28" s="1">
        <v>0</v>
      </c>
      <c r="M28" s="1">
        <f t="shared" si="2"/>
        <v>13053</v>
      </c>
      <c r="N28" s="1">
        <v>13050</v>
      </c>
      <c r="O28" s="1">
        <f t="shared" si="3"/>
        <v>-3</v>
      </c>
      <c r="P28" s="1"/>
      <c r="Q28" s="1"/>
    </row>
    <row r="29" spans="1:17" x14ac:dyDescent="0.25">
      <c r="A29" s="2">
        <v>46262</v>
      </c>
      <c r="B29" s="1" t="s">
        <v>18</v>
      </c>
      <c r="C29" s="1">
        <v>14676</v>
      </c>
      <c r="D29" s="1">
        <v>3800</v>
      </c>
      <c r="E29" s="1">
        <v>150</v>
      </c>
      <c r="F29" s="1">
        <f t="shared" si="4"/>
        <v>10726</v>
      </c>
      <c r="G29" s="1">
        <v>2872</v>
      </c>
      <c r="H29" s="1">
        <v>2100</v>
      </c>
      <c r="I29" s="1">
        <f t="shared" si="0"/>
        <v>14676</v>
      </c>
      <c r="J29" s="1">
        <v>0</v>
      </c>
      <c r="K29" s="1">
        <f t="shared" si="1"/>
        <v>4972</v>
      </c>
      <c r="L29" s="1">
        <v>0</v>
      </c>
      <c r="M29" s="1">
        <f t="shared" si="2"/>
        <v>9704</v>
      </c>
      <c r="N29" s="1">
        <v>9390</v>
      </c>
      <c r="O29" s="1">
        <f t="shared" si="3"/>
        <v>-314</v>
      </c>
      <c r="P29" s="1" t="s">
        <v>35</v>
      </c>
    </row>
    <row r="30" spans="1:17" customFormat="1" x14ac:dyDescent="0.25">
      <c r="A30" s="2">
        <v>46263</v>
      </c>
      <c r="B30" s="1" t="s">
        <v>19</v>
      </c>
      <c r="C30" s="1">
        <v>21373</v>
      </c>
      <c r="D30" s="1">
        <v>4500</v>
      </c>
      <c r="E30" s="1">
        <v>200</v>
      </c>
      <c r="F30" s="1">
        <f t="shared" si="4"/>
        <v>16673</v>
      </c>
      <c r="G30" s="1">
        <v>6656</v>
      </c>
      <c r="H30" s="1">
        <v>115</v>
      </c>
      <c r="I30" s="1">
        <f t="shared" si="0"/>
        <v>21373</v>
      </c>
      <c r="J30" s="1">
        <v>40</v>
      </c>
      <c r="K30" s="1">
        <f t="shared" si="1"/>
        <v>6771</v>
      </c>
      <c r="L30" s="1">
        <v>78</v>
      </c>
      <c r="M30" s="1">
        <f t="shared" si="2"/>
        <v>14564</v>
      </c>
      <c r="N30" s="1">
        <v>14455</v>
      </c>
      <c r="O30" s="1">
        <f t="shared" si="3"/>
        <v>-109</v>
      </c>
      <c r="P30" s="1" t="s">
        <v>36</v>
      </c>
      <c r="Q30" s="1"/>
    </row>
    <row r="31" spans="1:17" x14ac:dyDescent="0.25">
      <c r="A31" s="2">
        <v>46264</v>
      </c>
      <c r="B31" s="1" t="s">
        <v>20</v>
      </c>
      <c r="C31" s="1">
        <v>16808</v>
      </c>
      <c r="D31" s="1">
        <v>3010</v>
      </c>
      <c r="E31" s="1">
        <v>300</v>
      </c>
      <c r="F31" s="1">
        <f t="shared" si="4"/>
        <v>13498</v>
      </c>
      <c r="G31" s="1">
        <v>4559</v>
      </c>
      <c r="H31" s="1">
        <v>1435</v>
      </c>
      <c r="I31" s="1">
        <f t="shared" si="0"/>
        <v>16808</v>
      </c>
      <c r="J31" s="1">
        <v>50</v>
      </c>
      <c r="K31" s="1">
        <f t="shared" si="1"/>
        <v>5994</v>
      </c>
      <c r="L31" s="1">
        <v>90</v>
      </c>
      <c r="M31" s="1">
        <f t="shared" si="2"/>
        <v>10774</v>
      </c>
      <c r="N31" s="1">
        <v>10665</v>
      </c>
      <c r="O31" s="1">
        <f t="shared" si="3"/>
        <v>-109</v>
      </c>
      <c r="P31" s="1" t="s">
        <v>37</v>
      </c>
    </row>
    <row r="32" spans="1:17" s="5" customFormat="1" x14ac:dyDescent="0.25">
      <c r="A32" s="4">
        <v>46265</v>
      </c>
      <c r="B32" s="5" t="s">
        <v>21</v>
      </c>
      <c r="C32" s="5">
        <v>14923</v>
      </c>
      <c r="D32" s="5">
        <v>2700</v>
      </c>
      <c r="E32" s="5">
        <v>300</v>
      </c>
      <c r="F32" s="5">
        <f t="shared" si="4"/>
        <v>11923</v>
      </c>
      <c r="G32" s="5">
        <v>7001</v>
      </c>
      <c r="H32" s="5">
        <v>20</v>
      </c>
      <c r="I32" s="5">
        <f t="shared" si="0"/>
        <v>14923</v>
      </c>
      <c r="J32" s="5">
        <v>0</v>
      </c>
      <c r="K32" s="5">
        <f t="shared" si="1"/>
        <v>7021</v>
      </c>
      <c r="L32" s="5">
        <v>0</v>
      </c>
      <c r="M32" s="5">
        <f t="shared" si="2"/>
        <v>7902</v>
      </c>
      <c r="N32" s="5">
        <v>7500</v>
      </c>
      <c r="O32" s="1">
        <f t="shared" si="3"/>
        <v>-402</v>
      </c>
      <c r="P32" s="5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2025-09-01T08:25:24Z</dcterms:modified>
</cp:coreProperties>
</file>